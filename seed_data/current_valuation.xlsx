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현재_통합_문서"/>
  <bookViews>
    <workbookView windowWidth="17200" windowHeight="12340" tabRatio="605" activeTab="1"/>
  </bookViews>
  <sheets>
    <sheet name="Risk Mgmt" sheetId="15" r:id="rId1"/>
    <sheet name="09-Oct" sheetId="1" r:id="rId2"/>
    <sheet name="16-Oct" sheetId="2" r:id="rId3"/>
    <sheet name="23-Oct" sheetId="9" r:id="rId4"/>
    <sheet name="30-Oct" sheetId="10" r:id="rId5"/>
    <sheet name="06-Nov" sheetId="11" r:id="rId6"/>
    <sheet name="13-Nov" sheetId="17" r:id="rId7"/>
    <sheet name="20-Nov" sheetId="14" r:id="rId8"/>
    <sheet name="PeerEV" sheetId="16" r:id="rId9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<sst xmlns="http://schemas.openxmlformats.org/spreadsheetml/2006/main" count="404" uniqueCount="111">
  <si>
    <t>DBA4014</t>
  </si>
  <si>
    <t>Risk Management Rules</t>
  </si>
  <si>
    <t>Company</t>
  </si>
  <si>
    <t>DBA4</t>
  </si>
  <si>
    <t>Date</t>
  </si>
  <si>
    <r>
      <rPr>
        <b/>
        <sz val="14"/>
        <color rgb="FF0000FF"/>
        <rFont val="Tahoma"/>
        <charset val="134"/>
      </rPr>
      <t xml:space="preserve">Risk Management Rules </t>
    </r>
    <r>
      <rPr>
        <sz val="14"/>
        <color rgb="FF0000FF"/>
        <rFont val="Tahoma"/>
        <charset val="134"/>
      </rPr>
      <t>(Self-Regulation)</t>
    </r>
  </si>
  <si>
    <t>Loss-cut</t>
  </si>
  <si>
    <t>%  Enforcing this rule is primarily the CRO's responsibility.</t>
  </si>
  <si>
    <r>
      <rPr>
        <sz val="14"/>
        <color rgb="FF0000FF"/>
        <rFont val="Tahoma"/>
        <charset val="134"/>
      </rPr>
      <t xml:space="preserve">Our PaperTrade is limited to </t>
    </r>
    <r>
      <rPr>
        <b/>
        <sz val="14"/>
        <color rgb="FF0000FF"/>
        <rFont val="Tahoma"/>
        <charset val="134"/>
      </rPr>
      <t>macro</t>
    </r>
    <r>
      <rPr>
        <sz val="14"/>
        <color rgb="FF0000FF"/>
        <rFont val="Tahoma"/>
        <charset val="134"/>
      </rPr>
      <t xml:space="preserve"> risks only
- </t>
    </r>
    <r>
      <rPr>
        <b/>
        <sz val="14"/>
        <color rgb="FF0000FF"/>
        <rFont val="Tahoma"/>
        <charset val="134"/>
      </rPr>
      <t>ETF</t>
    </r>
    <r>
      <rPr>
        <sz val="14"/>
        <color rgb="FF0000FF"/>
        <rFont val="Tahoma"/>
        <charset val="134"/>
      </rPr>
      <t xml:space="preserve">s, </t>
    </r>
    <r>
      <rPr>
        <b/>
        <sz val="14"/>
        <color rgb="FF0000FF"/>
        <rFont val="Tahoma"/>
        <charset val="134"/>
      </rPr>
      <t>ETN</t>
    </r>
    <r>
      <rPr>
        <sz val="14"/>
        <color rgb="FF0000FF"/>
        <rFont val="Tahoma"/>
        <charset val="134"/>
      </rPr>
      <t xml:space="preserve">s, (i.e. </t>
    </r>
    <r>
      <rPr>
        <b/>
        <sz val="14"/>
        <color rgb="FF0000FF"/>
        <rFont val="Tahoma"/>
        <charset val="134"/>
      </rPr>
      <t>ETP</t>
    </r>
    <r>
      <rPr>
        <sz val="14"/>
        <color rgb="FF0000FF"/>
        <rFont val="Tahoma"/>
        <charset val="134"/>
      </rPr>
      <t xml:space="preserve">s)
- Futures on </t>
    </r>
    <r>
      <rPr>
        <b/>
        <sz val="14"/>
        <color rgb="FF0000FF"/>
        <rFont val="Tahoma"/>
        <charset val="134"/>
      </rPr>
      <t>indices</t>
    </r>
    <r>
      <rPr>
        <sz val="14"/>
        <color rgb="FF0000FF"/>
        <rFont val="Tahoma"/>
        <charset val="134"/>
      </rPr>
      <t xml:space="preserve"> and </t>
    </r>
    <r>
      <rPr>
        <b/>
        <sz val="14"/>
        <color rgb="FF0000FF"/>
        <rFont val="Tahoma"/>
        <charset val="134"/>
      </rPr>
      <t>commodities</t>
    </r>
    <r>
      <rPr>
        <sz val="14"/>
        <color rgb="FF0000FF"/>
        <rFont val="Tahoma"/>
        <charset val="134"/>
      </rPr>
      <t xml:space="preserve">
- Options on </t>
    </r>
    <r>
      <rPr>
        <b/>
        <sz val="14"/>
        <color rgb="FF0000FF"/>
        <rFont val="Tahoma"/>
        <charset val="134"/>
      </rPr>
      <t>indices</t>
    </r>
    <r>
      <rPr>
        <sz val="14"/>
        <color rgb="FF0000FF"/>
        <rFont val="Tahoma"/>
        <charset val="134"/>
      </rPr>
      <t xml:space="preserve"> and </t>
    </r>
    <r>
      <rPr>
        <b/>
        <sz val="14"/>
        <color rgb="FF0000FF"/>
        <rFont val="Tahoma"/>
        <charset val="134"/>
      </rPr>
      <t>commodities</t>
    </r>
    <r>
      <rPr>
        <sz val="14"/>
        <color rgb="FF0000FF"/>
        <rFont val="Tahoma"/>
        <charset val="134"/>
      </rPr>
      <t xml:space="preserve">
- </t>
    </r>
    <r>
      <rPr>
        <b/>
        <sz val="14"/>
        <color rgb="FFFF0000"/>
        <rFont val="Tahoma"/>
        <charset val="134"/>
      </rPr>
      <t>No</t>
    </r>
    <r>
      <rPr>
        <sz val="14"/>
        <color rgb="FFFF0000"/>
        <rFont val="Tahoma"/>
        <charset val="134"/>
      </rPr>
      <t xml:space="preserve"> investment</t>
    </r>
    <r>
      <rPr>
        <sz val="14"/>
        <color rgb="FF0000FF"/>
        <rFont val="Tahoma"/>
        <charset val="134"/>
      </rPr>
      <t xml:space="preserve"> in </t>
    </r>
    <r>
      <rPr>
        <b/>
        <sz val="14"/>
        <color rgb="FF0000FF"/>
        <rFont val="Tahoma"/>
        <charset val="134"/>
      </rPr>
      <t>individual</t>
    </r>
    <r>
      <rPr>
        <sz val="14"/>
        <color rgb="FF0000FF"/>
        <rFont val="Tahoma"/>
        <charset val="134"/>
      </rPr>
      <t xml:space="preserve"> stocks 
  </t>
    </r>
    <r>
      <rPr>
        <b/>
        <sz val="14"/>
        <color rgb="FFFF0000"/>
        <rFont val="Tahoma"/>
        <charset val="134"/>
      </rPr>
      <t>No</t>
    </r>
    <r>
      <rPr>
        <sz val="14"/>
        <color rgb="FF0000FF"/>
        <rFont val="Tahoma"/>
        <charset val="134"/>
      </rPr>
      <t xml:space="preserve"> </t>
    </r>
    <r>
      <rPr>
        <b/>
        <sz val="14"/>
        <color rgb="FF0000FF"/>
        <rFont val="Tahoma"/>
        <charset val="134"/>
      </rPr>
      <t>single</t>
    </r>
    <r>
      <rPr>
        <sz val="14"/>
        <color rgb="FF0000FF"/>
        <rFont val="Tahoma"/>
        <charset val="134"/>
      </rPr>
      <t xml:space="preserve">-stock futures 
  </t>
    </r>
    <r>
      <rPr>
        <b/>
        <sz val="14"/>
        <color rgb="FFFF0000"/>
        <rFont val="Tahoma"/>
        <charset val="134"/>
      </rPr>
      <t>No</t>
    </r>
    <r>
      <rPr>
        <sz val="14"/>
        <color rgb="FF0000FF"/>
        <rFont val="Tahoma"/>
        <charset val="134"/>
      </rPr>
      <t xml:space="preserve"> </t>
    </r>
    <r>
      <rPr>
        <b/>
        <sz val="14"/>
        <color rgb="FF0000FF"/>
        <rFont val="Tahoma"/>
        <charset val="134"/>
      </rPr>
      <t>single</t>
    </r>
    <r>
      <rPr>
        <sz val="14"/>
        <color rgb="FF0000FF"/>
        <rFont val="Tahoma"/>
        <charset val="134"/>
      </rPr>
      <t xml:space="preserve">-stock options
  + 
  </t>
    </r>
    <r>
      <rPr>
        <b/>
        <sz val="14"/>
        <color rgb="FFFF0000"/>
        <rFont val="Tahoma"/>
        <charset val="134"/>
      </rPr>
      <t>No</t>
    </r>
    <r>
      <rPr>
        <sz val="14"/>
        <color rgb="FF0000FF"/>
        <rFont val="Tahoma"/>
        <charset val="134"/>
      </rPr>
      <t xml:space="preserve"> </t>
    </r>
    <r>
      <rPr>
        <b/>
        <sz val="14"/>
        <color rgb="FF0000FF"/>
        <rFont val="Tahoma"/>
        <charset val="134"/>
      </rPr>
      <t>single</t>
    </r>
    <r>
      <rPr>
        <sz val="14"/>
        <color rgb="FF0000FF"/>
        <rFont val="Tahoma"/>
        <charset val="134"/>
      </rPr>
      <t xml:space="preserve">-stock ETFs such as: 
</t>
    </r>
    <r>
      <rPr>
        <sz val="11"/>
        <color rgb="FF0000FF"/>
        <rFont val="Tahoma"/>
        <charset val="134"/>
      </rPr>
      <t xml:space="preserve">    (including but not limited to...)
    TSLQ: -1× the daily performance of Tesla 
    NVDS: -1.25× the daily performance of Nvidia 
    PYPS: -1.5× the daily performance of PayPal 
    PYPT: +1.5× the daily performance of PayPal 
    NKEQ: -2× the daily performance of Nike 
    NKEL: +2× the daily performance of Nike 
    PFES: -2× the daily performance of Pfizer 
    PFEL: +2× the daily performance of Pfizer 
</t>
    </r>
  </si>
  <si>
    <t>Profit-taking</t>
  </si>
  <si>
    <r>
      <rPr>
        <sz val="14"/>
        <color theme="1"/>
        <rFont val="Tahoma"/>
        <charset val="134"/>
      </rPr>
      <t>The "</t>
    </r>
    <r>
      <rPr>
        <b/>
        <sz val="14"/>
        <color rgb="FF0000FF"/>
        <rFont val="Tahoma"/>
        <charset val="134"/>
      </rPr>
      <t>disposition effect</t>
    </r>
    <r>
      <rPr>
        <sz val="14"/>
        <color theme="1"/>
        <rFont val="Tahoma"/>
        <charset val="134"/>
      </rPr>
      <t>": a behavioral bias</t>
    </r>
  </si>
  <si>
    <t>Exposure Limits:</t>
  </si>
  <si>
    <r>
      <rPr>
        <sz val="12"/>
        <color rgb="FF000000"/>
        <rFont val="Tahoma"/>
        <charset val="134"/>
      </rPr>
      <t xml:space="preserve">Any one </t>
    </r>
    <r>
      <rPr>
        <b/>
        <sz val="12"/>
        <color rgb="FF000000"/>
        <rFont val="Tahoma"/>
        <charset val="134"/>
      </rPr>
      <t>ETF</t>
    </r>
    <r>
      <rPr>
        <sz val="12"/>
        <color rgb="FF000000"/>
        <rFont val="Tahoma"/>
        <charset val="134"/>
      </rPr>
      <t xml:space="preserve"> exposure: </t>
    </r>
  </si>
  <si>
    <t>% of the fund (\10billion)</t>
  </si>
  <si>
    <r>
      <rPr>
        <sz val="12"/>
        <color theme="1"/>
        <rFont val="Tahoma"/>
        <charset val="134"/>
      </rPr>
      <t xml:space="preserve">Any one </t>
    </r>
    <r>
      <rPr>
        <b/>
        <sz val="12"/>
        <color theme="1"/>
        <rFont val="Tahoma"/>
        <charset val="134"/>
      </rPr>
      <t>Country</t>
    </r>
    <r>
      <rPr>
        <sz val="12"/>
        <color theme="1"/>
        <rFont val="Tahoma"/>
        <charset val="134"/>
      </rPr>
      <t xml:space="preserve"> exposure: </t>
    </r>
  </si>
  <si>
    <r>
      <rPr>
        <sz val="12"/>
        <color theme="1"/>
        <rFont val="Tahoma"/>
        <charset val="134"/>
      </rPr>
      <t xml:space="preserve">Any </t>
    </r>
    <r>
      <rPr>
        <b/>
        <sz val="12"/>
        <color theme="1"/>
        <rFont val="Tahoma"/>
        <charset val="134"/>
      </rPr>
      <t>Futures</t>
    </r>
    <r>
      <rPr>
        <sz val="12"/>
        <color theme="1"/>
        <rFont val="Tahoma"/>
        <charset val="134"/>
      </rPr>
      <t xml:space="preserve"> </t>
    </r>
    <r>
      <rPr>
        <b/>
        <sz val="12"/>
        <color rgb="FF0000FF"/>
        <rFont val="Tahoma"/>
        <charset val="134"/>
      </rPr>
      <t>Net</t>
    </r>
    <r>
      <rPr>
        <sz val="12"/>
        <color theme="1"/>
        <rFont val="Tahoma"/>
        <charset val="134"/>
      </rPr>
      <t xml:space="preserve"> exposure: </t>
    </r>
  </si>
  <si>
    <r>
      <rPr>
        <sz val="16"/>
        <color rgb="FF0000FF"/>
        <rFont val="Tahoma"/>
        <charset val="134"/>
      </rPr>
      <t>size(exposure)</t>
    </r>
    <r>
      <rPr>
        <sz val="14"/>
        <color rgb="FF0000FF"/>
        <rFont val="Tahoma"/>
        <charset val="134"/>
      </rPr>
      <t xml:space="preserve"> = underlying asset's price x multiplier x #of contracts (x FX rate)</t>
    </r>
  </si>
  <si>
    <r>
      <rPr>
        <sz val="12"/>
        <color theme="1"/>
        <rFont val="Tahoma"/>
        <charset val="134"/>
      </rPr>
      <t xml:space="preserve">Any </t>
    </r>
    <r>
      <rPr>
        <b/>
        <sz val="12"/>
        <color theme="1"/>
        <rFont val="Tahoma"/>
        <charset val="134"/>
      </rPr>
      <t>Options</t>
    </r>
    <r>
      <rPr>
        <sz val="12"/>
        <color theme="1"/>
        <rFont val="Tahoma"/>
        <charset val="134"/>
      </rPr>
      <t xml:space="preserve"> Long exposure: </t>
    </r>
  </si>
  <si>
    <r>
      <rPr>
        <sz val="12"/>
        <color theme="1"/>
        <rFont val="Tahoma"/>
        <charset val="134"/>
      </rPr>
      <t xml:space="preserve">Any </t>
    </r>
    <r>
      <rPr>
        <b/>
        <sz val="12"/>
        <color theme="1"/>
        <rFont val="Tahoma"/>
        <charset val="134"/>
      </rPr>
      <t>Options</t>
    </r>
    <r>
      <rPr>
        <sz val="12"/>
        <color theme="1"/>
        <rFont val="Tahoma"/>
        <charset val="134"/>
      </rPr>
      <t xml:space="preserve"> Short exposure: </t>
    </r>
  </si>
  <si>
    <t>New Trade</t>
  </si>
  <si>
    <r>
      <rPr>
        <sz val="14"/>
        <color theme="1"/>
        <rFont val="Tahoma"/>
        <charset val="134"/>
      </rPr>
      <t xml:space="preserve">Only on </t>
    </r>
    <r>
      <rPr>
        <b/>
        <sz val="14"/>
        <color rgb="FF0000FF"/>
        <rFont val="Tahoma"/>
        <charset val="134"/>
      </rPr>
      <t>Friday</t>
    </r>
    <r>
      <rPr>
        <sz val="14"/>
        <color theme="1"/>
        <rFont val="Tahoma"/>
        <charset val="134"/>
      </rPr>
      <t xml:space="preserve"> at Friday's closing prices (Order-type: </t>
    </r>
    <r>
      <rPr>
        <b/>
        <sz val="14"/>
        <color rgb="FF0000FF"/>
        <rFont val="Tahoma"/>
        <charset val="134"/>
      </rPr>
      <t>Market-on-Close</t>
    </r>
    <r>
      <rPr>
        <sz val="14"/>
        <color theme="1"/>
        <rFont val="Tahoma"/>
        <charset val="134"/>
      </rPr>
      <t>)</t>
    </r>
  </si>
  <si>
    <t>Trade Size</t>
  </si>
  <si>
    <r>
      <rPr>
        <sz val="14"/>
        <rFont val="Tahoma"/>
        <charset val="134"/>
      </rPr>
      <t xml:space="preserve">Less than </t>
    </r>
    <r>
      <rPr>
        <b/>
        <sz val="14"/>
        <color rgb="FF0000FF"/>
        <rFont val="Tahoma"/>
        <charset val="134"/>
      </rPr>
      <t xml:space="preserve">25% </t>
    </r>
    <r>
      <rPr>
        <sz val="14"/>
        <rFont val="Tahoma"/>
        <charset val="134"/>
      </rPr>
      <t xml:space="preserve">of </t>
    </r>
    <r>
      <rPr>
        <b/>
        <sz val="14"/>
        <color rgb="FF0000FF"/>
        <rFont val="Tahoma"/>
        <charset val="134"/>
      </rPr>
      <t xml:space="preserve">Daily Trading Volume </t>
    </r>
    <r>
      <rPr>
        <sz val="14"/>
        <rFont val="Tahoma"/>
        <charset val="134"/>
      </rPr>
      <t>on</t>
    </r>
    <r>
      <rPr>
        <b/>
        <sz val="14"/>
        <color rgb="FF0000FF"/>
        <rFont val="Tahoma"/>
        <charset val="134"/>
      </rPr>
      <t xml:space="preserve"> previous Thursday</t>
    </r>
  </si>
  <si>
    <t>Leverage</t>
  </si>
  <si>
    <r>
      <rPr>
        <sz val="14"/>
        <color rgb="FF000000"/>
        <rFont val="Tahoma"/>
        <charset val="134"/>
      </rPr>
      <t xml:space="preserve">up to </t>
    </r>
    <r>
      <rPr>
        <b/>
        <sz val="14"/>
        <color rgb="FF0000FF"/>
        <rFont val="Tahoma"/>
        <charset val="134"/>
      </rPr>
      <t>30%</t>
    </r>
    <r>
      <rPr>
        <sz val="14"/>
        <color rgb="FF000000"/>
        <rFont val="Tahoma"/>
        <charset val="134"/>
      </rPr>
      <t xml:space="preserve"> of the asset at 3.64% p.a.</t>
    </r>
  </si>
  <si>
    <t>ETF Borrowing</t>
  </si>
  <si>
    <r>
      <rPr>
        <sz val="14"/>
        <color rgb="FF000000"/>
        <rFont val="Tahoma"/>
        <charset val="134"/>
      </rPr>
      <t xml:space="preserve">up to </t>
    </r>
    <r>
      <rPr>
        <b/>
        <sz val="14"/>
        <color rgb="FF0000FF"/>
        <rFont val="Tahoma"/>
        <charset val="134"/>
      </rPr>
      <t>30%</t>
    </r>
    <r>
      <rPr>
        <sz val="14"/>
        <color rgb="FF000000"/>
        <rFont val="Tahoma"/>
        <charset val="134"/>
      </rPr>
      <t xml:space="preserve"> of the asset (at zero cost) </t>
    </r>
  </si>
  <si>
    <t>NOTE: Each team should decide on its own limits.</t>
  </si>
  <si>
    <t>CEO</t>
  </si>
  <si>
    <t>장단비</t>
  </si>
  <si>
    <t>CRO</t>
  </si>
  <si>
    <t>홍예나</t>
  </si>
  <si>
    <t>Check if your orders are in compliance with your team's (self-imposed) risk management rules!</t>
  </si>
  <si>
    <t>CIO</t>
  </si>
  <si>
    <t>채영찬</t>
  </si>
  <si>
    <t>Research</t>
  </si>
  <si>
    <t>김경수</t>
  </si>
  <si>
    <t>Jacob</t>
  </si>
  <si>
    <t>COO</t>
  </si>
  <si>
    <t>박준형</t>
  </si>
  <si>
    <r>
      <rPr>
        <sz val="14"/>
        <color theme="1"/>
        <rFont val="Tahoma"/>
        <charset val="134"/>
      </rPr>
      <t xml:space="preserve">If a loss-cut or profit-taking is triggered by your own conditions, 
(1) record the day's closing price &amp; the day's FX rate, 
(2) notify your execution by email to </t>
    </r>
    <r>
      <rPr>
        <u/>
        <sz val="14"/>
        <color theme="1"/>
        <rFont val="Tahoma"/>
        <charset val="134"/>
      </rPr>
      <t>yshin57@skku.edu</t>
    </r>
    <r>
      <rPr>
        <sz val="14"/>
        <color theme="1"/>
        <rFont val="Tahoma"/>
        <charset val="134"/>
      </rPr>
      <t xml:space="preserve"> on the same day,  
(3) apply the recorded price &amp; FX rate on the valuation report 
(instead of applying the Friday's closing prices)</t>
    </r>
  </si>
  <si>
    <t>Valuation Report before 3pm on Monday</t>
  </si>
  <si>
    <t>Order Report before 3pm on Friday</t>
  </si>
  <si>
    <r>
      <rPr>
        <b/>
        <sz val="24"/>
        <color rgb="FF0000FF"/>
        <rFont val="Tahoma"/>
        <charset val="134"/>
      </rPr>
      <t xml:space="preserve">Valuation </t>
    </r>
    <r>
      <rPr>
        <sz val="24"/>
        <color rgb="FF0000FF"/>
        <rFont val="Tahoma"/>
        <charset val="134"/>
      </rPr>
      <t>at Inception</t>
    </r>
  </si>
  <si>
    <t>as of</t>
  </si>
  <si>
    <t>Trade Date</t>
  </si>
  <si>
    <t>Report Date</t>
  </si>
  <si>
    <t>Risk Mgmt Rules</t>
  </si>
  <si>
    <t>ETF</t>
  </si>
  <si>
    <t>Country</t>
  </si>
  <si>
    <t>Futures</t>
  </si>
  <si>
    <t>Options L</t>
  </si>
  <si>
    <t>Options S</t>
  </si>
  <si>
    <t>Cash Balace (KRW, before trades)</t>
  </si>
  <si>
    <t>New Positions</t>
  </si>
  <si>
    <t>Long or Short</t>
  </si>
  <si>
    <t>Long</t>
  </si>
  <si>
    <t>Product Name</t>
  </si>
  <si>
    <t>KODEX 200</t>
  </si>
  <si>
    <t>SPDR S&amp;P 500 ETF Trust</t>
  </si>
  <si>
    <t>VanEck Semiconductor ETF</t>
  </si>
  <si>
    <t>First Trust Nasdaq Cybersecurity ETF</t>
  </si>
  <si>
    <t>SPDR Bloomberg 1-3 Month T-Bill ETF</t>
  </si>
  <si>
    <t>Schwab U.S. Dividend Equity ETF</t>
  </si>
  <si>
    <t>Product Code</t>
  </si>
  <si>
    <t>A069500</t>
  </si>
  <si>
    <t>SPY</t>
  </si>
  <si>
    <t>SMH</t>
  </si>
  <si>
    <t>CIBR</t>
  </si>
  <si>
    <t>BIL</t>
  </si>
  <si>
    <t>SCHD</t>
  </si>
  <si>
    <r>
      <rPr>
        <b/>
        <sz val="10"/>
        <color theme="1"/>
        <rFont val="Tahoma"/>
        <charset val="134"/>
      </rPr>
      <t>Product Type</t>
    </r>
    <r>
      <rPr>
        <sz val="10"/>
        <color theme="1"/>
        <rFont val="Tahoma"/>
        <charset val="134"/>
      </rPr>
      <t xml:space="preserve"> (</t>
    </r>
    <r>
      <rPr>
        <b/>
        <sz val="10"/>
        <color theme="1"/>
        <rFont val="Tahoma"/>
        <charset val="134"/>
      </rPr>
      <t>ETF</t>
    </r>
    <r>
      <rPr>
        <sz val="10"/>
        <color theme="1"/>
        <rFont val="Tahoma"/>
        <charset val="134"/>
      </rPr>
      <t>/</t>
    </r>
    <r>
      <rPr>
        <b/>
        <sz val="10"/>
        <color theme="1"/>
        <rFont val="Tahoma"/>
        <charset val="134"/>
      </rPr>
      <t>Futures</t>
    </r>
    <r>
      <rPr>
        <sz val="10"/>
        <color theme="1"/>
        <rFont val="Tahoma"/>
        <charset val="134"/>
      </rPr>
      <t>/</t>
    </r>
    <r>
      <rPr>
        <b/>
        <sz val="10"/>
        <color theme="1"/>
        <rFont val="Tahoma"/>
        <charset val="134"/>
      </rPr>
      <t>Options</t>
    </r>
    <r>
      <rPr>
        <sz val="10"/>
        <color theme="1"/>
        <rFont val="Tahoma"/>
        <charset val="134"/>
      </rPr>
      <t>)</t>
    </r>
  </si>
  <si>
    <r>
      <rPr>
        <b/>
        <sz val="11"/>
        <color theme="1"/>
        <rFont val="Tahoma"/>
        <charset val="134"/>
      </rPr>
      <t xml:space="preserve">Size </t>
    </r>
    <r>
      <rPr>
        <sz val="11"/>
        <color theme="1"/>
        <rFont val="Tahoma"/>
        <charset val="134"/>
      </rPr>
      <t>(shares/contracts)</t>
    </r>
  </si>
  <si>
    <r>
      <rPr>
        <b/>
        <sz val="11"/>
        <color theme="1"/>
        <rFont val="Tahoma"/>
        <charset val="134"/>
      </rPr>
      <t xml:space="preserve">Multiple </t>
    </r>
    <r>
      <rPr>
        <sz val="11"/>
        <color theme="1"/>
        <rFont val="Tahoma"/>
        <charset val="134"/>
      </rPr>
      <t>(Futures&amp;Options)</t>
    </r>
  </si>
  <si>
    <r>
      <rPr>
        <sz val="11"/>
        <color theme="1"/>
        <rFont val="Tahoma"/>
        <charset val="134"/>
      </rPr>
      <t xml:space="preserve">Booking/Opening </t>
    </r>
    <r>
      <rPr>
        <b/>
        <sz val="11"/>
        <color theme="1"/>
        <rFont val="Tahoma"/>
        <charset val="134"/>
      </rPr>
      <t>Price</t>
    </r>
  </si>
  <si>
    <r>
      <rPr>
        <sz val="10"/>
        <color theme="1"/>
        <rFont val="Tahoma"/>
        <charset val="134"/>
      </rPr>
      <t xml:space="preserve">Booking/Opening </t>
    </r>
    <r>
      <rPr>
        <b/>
        <sz val="10"/>
        <color theme="1"/>
        <rFont val="Tahoma"/>
        <charset val="134"/>
      </rPr>
      <t>FX</t>
    </r>
    <r>
      <rPr>
        <sz val="10"/>
        <color theme="1"/>
        <rFont val="Tahoma"/>
        <charset val="134"/>
      </rPr>
      <t xml:space="preserve"> (exchange rate)</t>
    </r>
  </si>
  <si>
    <r>
      <rPr>
        <sz val="8"/>
        <color theme="1"/>
        <rFont val="Tahoma"/>
        <charset val="134"/>
      </rPr>
      <t>Booking/Opening Price(</t>
    </r>
    <r>
      <rPr>
        <b/>
        <sz val="8"/>
        <color theme="1"/>
        <rFont val="Tahoma"/>
        <charset val="134"/>
      </rPr>
      <t>converted</t>
    </r>
    <r>
      <rPr>
        <sz val="8"/>
        <color theme="1"/>
        <rFont val="Tahoma"/>
        <charset val="134"/>
      </rPr>
      <t xml:space="preserve"> to KRW)</t>
    </r>
  </si>
  <si>
    <r>
      <rPr>
        <sz val="11"/>
        <color theme="1"/>
        <rFont val="Tahoma"/>
        <charset val="134"/>
      </rPr>
      <t>Booking Price(</t>
    </r>
    <r>
      <rPr>
        <b/>
        <sz val="11"/>
        <color theme="1"/>
        <rFont val="Tahoma"/>
        <charset val="134"/>
      </rPr>
      <t>KRW</t>
    </r>
    <r>
      <rPr>
        <sz val="11"/>
        <color theme="1"/>
        <rFont val="Tahoma"/>
        <charset val="134"/>
      </rPr>
      <t>) x Size</t>
    </r>
  </si>
  <si>
    <r>
      <rPr>
        <b/>
        <sz val="11"/>
        <color theme="1"/>
        <rFont val="Tahoma"/>
        <charset val="134"/>
      </rPr>
      <t>Cashflow</t>
    </r>
    <r>
      <rPr>
        <sz val="11"/>
        <color theme="1"/>
        <rFont val="Tahoma"/>
        <charset val="134"/>
      </rPr>
      <t>: Buy(-), Sell(+)</t>
    </r>
  </si>
  <si>
    <t>Net Cashflow</t>
  </si>
  <si>
    <t>New Cash Balance</t>
  </si>
  <si>
    <t>Nextweek Cash Balance</t>
  </si>
  <si>
    <r>
      <rPr>
        <b/>
        <sz val="24"/>
        <color rgb="FF0000FF"/>
        <rFont val="Tahoma"/>
        <charset val="134"/>
      </rPr>
      <t>1</t>
    </r>
    <r>
      <rPr>
        <sz val="24"/>
        <color rgb="FF0000FF"/>
        <rFont val="Tahoma"/>
        <charset val="134"/>
      </rPr>
      <t>st week</t>
    </r>
    <r>
      <rPr>
        <b/>
        <sz val="24"/>
        <color rgb="FF0000FF"/>
        <rFont val="Tahoma"/>
        <charset val="134"/>
      </rPr>
      <t xml:space="preserve"> Valuation</t>
    </r>
  </si>
  <si>
    <t>Previous Positions</t>
  </si>
  <si>
    <t>New Trades</t>
  </si>
  <si>
    <t>Buy or Sell</t>
  </si>
  <si>
    <t>Outstanding (New) Positions</t>
  </si>
  <si>
    <t>Market Values of ETFs</t>
  </si>
  <si>
    <t>New Cash Balance + Unrealized P/L</t>
  </si>
  <si>
    <t>Rate of Return from inception</t>
  </si>
  <si>
    <r>
      <rPr>
        <b/>
        <sz val="24"/>
        <color rgb="FF0000FF"/>
        <rFont val="Tahoma"/>
        <charset val="134"/>
      </rPr>
      <t>2</t>
    </r>
    <r>
      <rPr>
        <sz val="24"/>
        <color rgb="FF0000FF"/>
        <rFont val="Tahoma"/>
        <charset val="134"/>
      </rPr>
      <t xml:space="preserve">nd week </t>
    </r>
    <r>
      <rPr>
        <b/>
        <sz val="24"/>
        <color rgb="FF0000FF"/>
        <rFont val="Tahoma"/>
        <charset val="134"/>
      </rPr>
      <t>Valuation</t>
    </r>
  </si>
  <si>
    <r>
      <rPr>
        <b/>
        <sz val="24"/>
        <color rgb="FF0000FF"/>
        <rFont val="Tahoma"/>
        <charset val="134"/>
      </rPr>
      <t>3</t>
    </r>
    <r>
      <rPr>
        <sz val="24"/>
        <color rgb="FF0000FF"/>
        <rFont val="Tahoma"/>
        <charset val="134"/>
      </rPr>
      <t>rd week</t>
    </r>
    <r>
      <rPr>
        <b/>
        <sz val="24"/>
        <color rgb="FF0000FF"/>
        <rFont val="Tahoma"/>
        <charset val="134"/>
      </rPr>
      <t xml:space="preserve"> Valuation</t>
    </r>
  </si>
  <si>
    <r>
      <rPr>
        <b/>
        <sz val="24"/>
        <color rgb="FF0000FF"/>
        <rFont val="Tahoma"/>
        <charset val="134"/>
      </rPr>
      <t>4</t>
    </r>
    <r>
      <rPr>
        <sz val="24"/>
        <color rgb="FF0000FF"/>
        <rFont val="Tahoma"/>
        <charset val="134"/>
      </rPr>
      <t xml:space="preserve">th week </t>
    </r>
    <r>
      <rPr>
        <b/>
        <sz val="24"/>
        <color rgb="FF0000FF"/>
        <rFont val="Tahoma"/>
        <charset val="134"/>
      </rPr>
      <t>Valuation</t>
    </r>
  </si>
  <si>
    <r>
      <rPr>
        <b/>
        <sz val="24"/>
        <color rgb="FF0000FF"/>
        <rFont val="Tahoma"/>
        <charset val="134"/>
      </rPr>
      <t>5</t>
    </r>
    <r>
      <rPr>
        <sz val="24"/>
        <color rgb="FF0000FF"/>
        <rFont val="Tahoma"/>
        <charset val="134"/>
      </rPr>
      <t xml:space="preserve">th week </t>
    </r>
    <r>
      <rPr>
        <b/>
        <sz val="24"/>
        <color rgb="FF0000FF"/>
        <rFont val="Tahoma"/>
        <charset val="134"/>
      </rPr>
      <t>Valuation</t>
    </r>
  </si>
  <si>
    <r>
      <rPr>
        <b/>
        <sz val="24"/>
        <color rgb="FF0000FF"/>
        <rFont val="Tahoma"/>
        <charset val="134"/>
      </rPr>
      <t>6</t>
    </r>
    <r>
      <rPr>
        <sz val="24"/>
        <color rgb="FF0000FF"/>
        <rFont val="Tahoma"/>
        <charset val="134"/>
      </rPr>
      <t xml:space="preserve">th week (final) </t>
    </r>
    <r>
      <rPr>
        <b/>
        <sz val="24"/>
        <color rgb="FF0000FF"/>
        <rFont val="Tahoma"/>
        <charset val="134"/>
      </rPr>
      <t>Valuation</t>
    </r>
  </si>
  <si>
    <t>Closing Trades</t>
  </si>
  <si>
    <t>DBA ?</t>
  </si>
  <si>
    <t xml:space="preserve">Person who evaluates: </t>
  </si>
  <si>
    <t xml:space="preserve">Team members to be evaluated </t>
  </si>
  <si>
    <t>[SAMPLE]</t>
  </si>
  <si>
    <r>
      <rPr>
        <sz val="11"/>
        <color theme="1"/>
        <rFont val="Tahoma"/>
        <charset val="134"/>
      </rPr>
      <t xml:space="preserve">*** Peer Evaluation Matrix: 5/4/3/2/1/0 of </t>
    </r>
    <r>
      <rPr>
        <b/>
        <sz val="11"/>
        <color rgb="FF0000FF"/>
        <rFont val="Tahoma"/>
        <charset val="134"/>
      </rPr>
      <t>Student3</t>
    </r>
  </si>
  <si>
    <t>Student3</t>
  </si>
  <si>
    <t>ê</t>
  </si>
  <si>
    <t>Student1</t>
  </si>
  <si>
    <t>Student2</t>
  </si>
  <si>
    <t>Student4</t>
  </si>
  <si>
    <t>Student5</t>
  </si>
  <si>
    <t>Student6</t>
  </si>
  <si>
    <t>Student7</t>
  </si>
  <si>
    <r>
      <rPr>
        <sz val="11"/>
        <color theme="1"/>
        <rFont val="Tahoma"/>
        <charset val="134"/>
      </rPr>
      <t xml:space="preserve">Team members to be evaluated by </t>
    </r>
    <r>
      <rPr>
        <b/>
        <sz val="11"/>
        <color rgb="FF0000FF"/>
        <rFont val="Tahoma"/>
        <charset val="134"/>
      </rPr>
      <t>Student3</t>
    </r>
  </si>
  <si>
    <t xml:space="preserve"> &lt;-- Self-evaluation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</si>
</sst>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-* #,##0_-;\-* #,##0_-;_-* &quot;-&quot;_-;_-@_-"/>
    <numFmt numFmtId="42" formatCode="_-&quot;₩&quot;* #,##0_-;\-&quot;₩&quot;* #,##0_-;_-&quot;₩&quot;* &quot;-&quot;_-;_-@_-"/>
    <numFmt numFmtId="43" formatCode="_-* #,##0.00_-;\-* #,##0.00_-;_-* &quot;-&quot;??_-;_-@_-"/>
    <numFmt numFmtId="44" formatCode="_-&quot;₩&quot;* #,##0.00_-;\-&quot;₩&quot;* #,##0.00_-;_-&quot;₩&quot;* &quot;-&quot;??_-;_-@_-"/>
    <numFmt numFmtId="176" formatCode="[$-1010412]yyyy\-mm\-dd"/>
    <numFmt numFmtId="177" formatCode="#,##0.00_ "/>
    <numFmt numFmtId="178" formatCode="#,##0_ "/>
    <numFmt numFmtId="179" formatCode="0.0000%"/>
    <numFmt numFmtId="180" formatCode="0.000%"/>
    <numFmt numFmtId="181" formatCode="0_ "/>
    <numFmt numFmtId="182" formatCode="0.0_ "/>
    <numFmt numFmtId="183" formatCode="[$-1010412]dd\-mmm"/>
  </numFmts>
  <fonts count="70">
    <font>
      <sz val="11"/>
      <color theme="1"/>
      <name val="宋体"/>
      <charset val="129"/>
      <scheme val="minor"/>
    </font>
    <font>
      <sz val="11"/>
      <color theme="1"/>
      <name val="Tahoma"/>
      <charset val="134"/>
    </font>
    <font>
      <b/>
      <sz val="11"/>
      <color theme="1"/>
      <name val="Tahoma"/>
      <charset val="134"/>
    </font>
    <font>
      <b/>
      <sz val="11"/>
      <color rgb="FF0000FF"/>
      <name val="Tahoma"/>
      <charset val="134"/>
    </font>
    <font>
      <sz val="11"/>
      <color theme="1"/>
      <name val="Wingdings"/>
      <charset val="2"/>
    </font>
    <font>
      <sz val="11"/>
      <name val="Tahoma"/>
      <charset val="134"/>
    </font>
    <font>
      <b/>
      <sz val="20"/>
      <color rgb="FF0000FF"/>
      <name val="Tahoma"/>
      <charset val="134"/>
    </font>
    <font>
      <sz val="11"/>
      <color rgb="FF0000FF"/>
      <name val="Tahoma"/>
      <charset val="134"/>
    </font>
    <font>
      <b/>
      <sz val="24"/>
      <color rgb="FF0000FF"/>
      <name val="Tahoma"/>
      <charset val="134"/>
    </font>
    <font>
      <sz val="20"/>
      <color rgb="FF0000FF"/>
      <name val="Tahoma"/>
      <charset val="134"/>
    </font>
    <font>
      <b/>
      <sz val="11"/>
      <name val="Tahoma"/>
      <charset val="134"/>
    </font>
    <font>
      <sz val="9"/>
      <color theme="1"/>
      <name val="Tahoma"/>
      <charset val="134"/>
    </font>
    <font>
      <b/>
      <sz val="11"/>
      <color rgb="FF00B050"/>
      <name val="Tahoma"/>
      <charset val="134"/>
    </font>
    <font>
      <b/>
      <sz val="9"/>
      <color theme="1"/>
      <name val="Tahoma"/>
      <charset val="134"/>
    </font>
    <font>
      <b/>
      <sz val="14"/>
      <color rgb="FF0000FF"/>
      <name val="Tahoma"/>
      <charset val="134"/>
    </font>
    <font>
      <b/>
      <sz val="12"/>
      <color rgb="FF0000FF"/>
      <name val="Tahoma"/>
      <charset val="134"/>
    </font>
    <font>
      <b/>
      <sz val="10"/>
      <color theme="1"/>
      <name val="Tahoma"/>
      <charset val="134"/>
    </font>
    <font>
      <sz val="11"/>
      <color rgb="FF00B050"/>
      <name val="Tahoma"/>
      <charset val="134"/>
    </font>
    <font>
      <b/>
      <sz val="14"/>
      <color rgb="FFFF0000"/>
      <name val="Tahoma"/>
      <charset val="134"/>
    </font>
    <font>
      <sz val="10"/>
      <color theme="1"/>
      <name val="Tahoma"/>
      <charset val="134"/>
    </font>
    <font>
      <b/>
      <sz val="11"/>
      <color theme="0" tint="-0.499984740745262"/>
      <name val="Tahoma"/>
      <charset val="134"/>
    </font>
    <font>
      <b/>
      <sz val="9"/>
      <color theme="0" tint="-0.499984740745262"/>
      <name val="Tahoma"/>
      <charset val="134"/>
    </font>
    <font>
      <sz val="8"/>
      <color theme="1"/>
      <name val="Tahoma"/>
      <charset val="134"/>
    </font>
    <font>
      <sz val="11"/>
      <color theme="0" tint="-0.499984740745262"/>
      <name val="Tahoma"/>
      <charset val="134"/>
    </font>
    <font>
      <sz val="11"/>
      <color rgb="FFFF0000"/>
      <name val="Tahoma"/>
      <charset val="134"/>
    </font>
    <font>
      <b/>
      <sz val="11"/>
      <color rgb="FFFF0000"/>
      <name val="Tahoma"/>
      <charset val="134"/>
    </font>
    <font>
      <b/>
      <sz val="14"/>
      <color theme="1"/>
      <name val="Tahoma"/>
      <charset val="134"/>
    </font>
    <font>
      <sz val="14"/>
      <color theme="1"/>
      <name val="Tahoma"/>
      <charset val="134"/>
    </font>
    <font>
      <sz val="14"/>
      <color rgb="FF000000"/>
      <name val="Tahoma"/>
      <charset val="134"/>
    </font>
    <font>
      <sz val="14"/>
      <color rgb="FF0000FF"/>
      <name val="Tahoma"/>
      <charset val="134"/>
    </font>
    <font>
      <sz val="12"/>
      <color rgb="FF000000"/>
      <name val="Tahoma"/>
      <charset val="134"/>
    </font>
    <font>
      <sz val="12"/>
      <color theme="1"/>
      <name val="Tahoma"/>
      <charset val="134"/>
    </font>
    <font>
      <b/>
      <sz val="12"/>
      <color theme="1"/>
      <name val="Tahoma"/>
      <charset val="134"/>
    </font>
    <font>
      <b/>
      <sz val="12"/>
      <color rgb="FF0000FF"/>
      <name val="Tahoma"/>
      <charset val="129"/>
    </font>
    <font>
      <sz val="10"/>
      <color theme="1"/>
      <name val="Apple SD Gothic Neo"/>
      <charset val="129"/>
    </font>
    <font>
      <sz val="12"/>
      <color theme="1"/>
      <name val="Tahoma"/>
      <charset val="129"/>
    </font>
    <font>
      <sz val="12"/>
      <color rgb="FFFF0000"/>
      <name val="Tahoma"/>
      <charset val="129"/>
    </font>
    <font>
      <sz val="10"/>
      <color theme="1"/>
      <name val="Tahoma"/>
      <charset val="129"/>
    </font>
    <font>
      <sz val="10"/>
      <color theme="1"/>
      <name val="맑은 고딕"/>
      <charset val="129"/>
    </font>
    <font>
      <sz val="16"/>
      <color theme="1"/>
      <name val="Tahoma"/>
      <charset val="134"/>
    </font>
    <font>
      <sz val="12"/>
      <color rgb="FF0000FF"/>
      <name val="Tahoma"/>
      <charset val="134"/>
    </font>
    <font>
      <sz val="12"/>
      <name val="Tahom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맑은 고딕"/>
      <charset val="134"/>
    </font>
    <font>
      <u/>
      <sz val="14"/>
      <color theme="1"/>
      <name val="Tahoma"/>
      <charset val="134"/>
    </font>
    <font>
      <sz val="14"/>
      <name val="Tahoma"/>
      <charset val="134"/>
    </font>
    <font>
      <sz val="24"/>
      <color rgb="FF0000FF"/>
      <name val="Tahoma"/>
      <charset val="134"/>
    </font>
    <font>
      <sz val="16"/>
      <color rgb="FF0000FF"/>
      <name val="Tahoma"/>
      <charset val="134"/>
    </font>
    <font>
      <sz val="14"/>
      <color rgb="FFFF0000"/>
      <name val="Tahoma"/>
      <charset val="134"/>
    </font>
    <font>
      <b/>
      <sz val="12"/>
      <color rgb="FF000000"/>
      <name val="Tahoma"/>
      <charset val="134"/>
    </font>
    <font>
      <b/>
      <sz val="8"/>
      <color theme="1"/>
      <name val="Tahoma"/>
      <charset val="134"/>
    </font>
  </fonts>
  <fills count="41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2" fillId="0" borderId="0" applyFont="0" applyFill="0" applyBorder="0" applyAlignment="0" applyProtection="0">
      <alignment vertical="center"/>
    </xf>
    <xf numFmtId="44" fontId="4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42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2" fillId="7" borderId="34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35" applyNumberFormat="0" applyFill="0" applyAlignment="0" applyProtection="0">
      <alignment vertical="center"/>
    </xf>
    <xf numFmtId="0" fontId="49" fillId="0" borderId="35" applyNumberFormat="0" applyFill="0" applyAlignment="0" applyProtection="0">
      <alignment vertical="center"/>
    </xf>
    <xf numFmtId="0" fontId="50" fillId="0" borderId="36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12" borderId="37" applyNumberFormat="0" applyAlignment="0" applyProtection="0">
      <alignment vertical="center"/>
    </xf>
    <xf numFmtId="0" fontId="52" fillId="13" borderId="38" applyNumberFormat="0" applyAlignment="0" applyProtection="0">
      <alignment vertical="center"/>
    </xf>
    <xf numFmtId="0" fontId="53" fillId="13" borderId="37" applyNumberFormat="0" applyAlignment="0" applyProtection="0">
      <alignment vertical="center"/>
    </xf>
    <xf numFmtId="0" fontId="54" fillId="14" borderId="39" applyNumberFormat="0" applyAlignment="0" applyProtection="0">
      <alignment vertical="center"/>
    </xf>
    <xf numFmtId="0" fontId="55" fillId="0" borderId="40" applyNumberFormat="0" applyFill="0" applyAlignment="0" applyProtection="0">
      <alignment vertical="center"/>
    </xf>
    <xf numFmtId="0" fontId="56" fillId="0" borderId="41" applyNumberFormat="0" applyFill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5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  <xf numFmtId="0" fontId="60" fillId="40" borderId="0" applyNumberFormat="0" applyBorder="0" applyAlignment="0" applyProtection="0">
      <alignment vertical="center"/>
    </xf>
    <xf numFmtId="0" fontId="62" fillId="0" borderId="0">
      <alignment vertical="center"/>
    </xf>
  </cellStyleXfs>
  <cellXfs count="27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177" fontId="12" fillId="3" borderId="2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9" fontId="1" fillId="3" borderId="1" xfId="3" applyFont="1" applyFill="1" applyBorder="1" applyAlignment="1">
      <alignment horizontal="center" vertical="center"/>
    </xf>
    <xf numFmtId="9" fontId="1" fillId="6" borderId="1" xfId="3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" fillId="6" borderId="0" xfId="0" applyFont="1" applyFill="1">
      <alignment vertical="center"/>
    </xf>
    <xf numFmtId="0" fontId="14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right" vertical="center"/>
    </xf>
    <xf numFmtId="0" fontId="15" fillId="3" borderId="11" xfId="0" applyFont="1" applyFill="1" applyBorder="1" applyAlignment="1">
      <alignment horizontal="right" vertical="center"/>
    </xf>
    <xf numFmtId="0" fontId="1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16" fillId="0" borderId="2" xfId="0" applyFont="1" applyBorder="1" applyAlignment="1">
      <alignment horizontal="right" vertical="center"/>
    </xf>
    <xf numFmtId="0" fontId="16" fillId="0" borderId="3" xfId="0" applyFont="1" applyBorder="1" applyAlignment="1">
      <alignment horizontal="right" vertical="center"/>
    </xf>
    <xf numFmtId="0" fontId="2" fillId="8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3" fontId="1" fillId="0" borderId="0" xfId="0" applyNumberFormat="1" applyFont="1" applyFill="1" applyAlignment="1">
      <alignment horizontal="center" vertical="center"/>
    </xf>
    <xf numFmtId="178" fontId="5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15" fillId="10" borderId="10" xfId="0" applyFont="1" applyFill="1" applyBorder="1" applyAlignment="1">
      <alignment horizontal="right" vertical="center"/>
    </xf>
    <xf numFmtId="0" fontId="15" fillId="10" borderId="11" xfId="0" applyFont="1" applyFill="1" applyBorder="1" applyAlignment="1">
      <alignment horizontal="right" vertical="center"/>
    </xf>
    <xf numFmtId="0" fontId="19" fillId="5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177" fontId="5" fillId="6" borderId="2" xfId="4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7" fontId="5" fillId="5" borderId="2" xfId="4" applyNumberFormat="1" applyFont="1" applyFill="1" applyBorder="1" applyAlignment="1">
      <alignment horizontal="center" vertical="center"/>
    </xf>
    <xf numFmtId="177" fontId="5" fillId="2" borderId="2" xfId="4" applyNumberFormat="1" applyFont="1" applyFill="1" applyBorder="1" applyAlignment="1">
      <alignment horizontal="center" vertical="center"/>
    </xf>
    <xf numFmtId="177" fontId="5" fillId="5" borderId="2" xfId="4" applyNumberFormat="1" applyFont="1" applyFill="1" applyBorder="1" applyAlignment="1">
      <alignment vertical="center"/>
    </xf>
    <xf numFmtId="177" fontId="5" fillId="2" borderId="2" xfId="4" applyNumberFormat="1" applyFont="1" applyFill="1" applyBorder="1" applyAlignment="1">
      <alignment vertical="center"/>
    </xf>
    <xf numFmtId="177" fontId="1" fillId="8" borderId="1" xfId="0" applyNumberFormat="1" applyFont="1" applyFill="1" applyBorder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77" fontId="10" fillId="0" borderId="2" xfId="0" applyNumberFormat="1" applyFont="1" applyBorder="1">
      <alignment vertical="center"/>
    </xf>
    <xf numFmtId="177" fontId="5" fillId="8" borderId="1" xfId="4" applyNumberFormat="1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177" fontId="5" fillId="0" borderId="0" xfId="4" applyNumberFormat="1" applyFont="1" applyFill="1" applyBorder="1" applyAlignment="1">
      <alignment horizontal="center" vertical="center"/>
    </xf>
    <xf numFmtId="177" fontId="12" fillId="0" borderId="2" xfId="0" applyNumberFormat="1" applyFont="1" applyBorder="1" applyAlignment="1">
      <alignment horizontal="center" vertical="center"/>
    </xf>
    <xf numFmtId="179" fontId="20" fillId="0" borderId="2" xfId="3" applyNumberFormat="1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177" fontId="12" fillId="0" borderId="0" xfId="0" applyNumberFormat="1" applyFont="1" applyAlignment="1">
      <alignment horizontal="center" vertical="center"/>
    </xf>
    <xf numFmtId="0" fontId="1" fillId="0" borderId="2" xfId="0" applyFont="1" applyBorder="1">
      <alignment vertical="center"/>
    </xf>
    <xf numFmtId="0" fontId="19" fillId="0" borderId="0" xfId="0" applyFont="1" applyAlignment="1">
      <alignment horizontal="center" vertical="center"/>
    </xf>
    <xf numFmtId="177" fontId="10" fillId="0" borderId="0" xfId="0" applyNumberFormat="1" applyFont="1">
      <alignment vertical="center"/>
    </xf>
    <xf numFmtId="180" fontId="1" fillId="0" borderId="0" xfId="0" applyNumberFormat="1" applyFont="1" applyAlignment="1">
      <alignment horizontal="center" vertical="center"/>
    </xf>
    <xf numFmtId="177" fontId="12" fillId="0" borderId="1" xfId="0" applyNumberFormat="1" applyFont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3" fontId="1" fillId="6" borderId="2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177" fontId="20" fillId="0" borderId="2" xfId="0" applyNumberFormat="1" applyFont="1" applyBorder="1">
      <alignment vertical="center"/>
    </xf>
    <xf numFmtId="0" fontId="22" fillId="0" borderId="0" xfId="0" applyFont="1" applyAlignment="1">
      <alignment vertical="center" wrapText="1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178" fontId="5" fillId="0" borderId="2" xfId="4" applyNumberFormat="1" applyFont="1" applyFill="1" applyBorder="1" applyAlignment="1">
      <alignment horizontal="center" vertical="center"/>
    </xf>
    <xf numFmtId="178" fontId="5" fillId="6" borderId="2" xfId="4" applyNumberFormat="1" applyFont="1" applyFill="1" applyBorder="1" applyAlignment="1">
      <alignment horizontal="center" vertical="center"/>
    </xf>
    <xf numFmtId="177" fontId="24" fillId="0" borderId="10" xfId="4" applyNumberFormat="1" applyFont="1" applyBorder="1" applyAlignment="1">
      <alignment horizontal="left" vertical="center"/>
    </xf>
    <xf numFmtId="177" fontId="5" fillId="0" borderId="0" xfId="4" applyNumberFormat="1" applyFont="1" applyFill="1" applyBorder="1" applyAlignment="1">
      <alignment vertical="top" wrapText="1"/>
    </xf>
    <xf numFmtId="3" fontId="1" fillId="6" borderId="3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177" fontId="12" fillId="3" borderId="1" xfId="0" applyNumberFormat="1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3" borderId="10" xfId="0" applyFont="1" applyFill="1" applyBorder="1" applyAlignment="1">
      <alignment horizontal="right" vertical="center"/>
    </xf>
    <xf numFmtId="0" fontId="14" fillId="3" borderId="11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177" fontId="5" fillId="6" borderId="2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right" vertical="center"/>
    </xf>
    <xf numFmtId="177" fontId="5" fillId="5" borderId="2" xfId="0" applyNumberFormat="1" applyFont="1" applyFill="1" applyBorder="1" applyAlignment="1">
      <alignment horizontal="center" vertical="center"/>
    </xf>
    <xf numFmtId="177" fontId="5" fillId="2" borderId="2" xfId="0" applyNumberFormat="1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177" fontId="5" fillId="5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right" vertical="center"/>
    </xf>
    <xf numFmtId="177" fontId="5" fillId="5" borderId="2" xfId="0" applyNumberFormat="1" applyFont="1" applyFill="1" applyBorder="1" applyAlignment="1">
      <alignment vertical="center"/>
    </xf>
    <xf numFmtId="177" fontId="5" fillId="2" borderId="1" xfId="0" applyNumberFormat="1" applyFont="1" applyFill="1" applyBorder="1" applyAlignment="1">
      <alignment vertical="center"/>
    </xf>
    <xf numFmtId="177" fontId="5" fillId="5" borderId="1" xfId="0" applyNumberFormat="1" applyFont="1" applyFill="1" applyBorder="1" applyAlignment="1">
      <alignment vertical="center"/>
    </xf>
    <xf numFmtId="177" fontId="5" fillId="5" borderId="1" xfId="0" applyNumberFormat="1" applyFont="1" applyFill="1" applyBorder="1">
      <alignment vertical="center"/>
    </xf>
    <xf numFmtId="177" fontId="5" fillId="2" borderId="1" xfId="0" applyNumberFormat="1" applyFont="1" applyFill="1" applyBorder="1">
      <alignment vertical="center"/>
    </xf>
    <xf numFmtId="0" fontId="22" fillId="5" borderId="1" xfId="0" applyFont="1" applyFill="1" applyBorder="1" applyAlignment="1">
      <alignment horizontal="right" vertical="center"/>
    </xf>
    <xf numFmtId="177" fontId="5" fillId="11" borderId="2" xfId="4" applyNumberFormat="1" applyFont="1" applyFill="1" applyBorder="1" applyAlignment="1">
      <alignment vertical="center"/>
    </xf>
    <xf numFmtId="177" fontId="5" fillId="11" borderId="1" xfId="4" applyNumberFormat="1" applyFont="1" applyFill="1" applyBorder="1" applyAlignment="1">
      <alignment vertical="center"/>
    </xf>
    <xf numFmtId="177" fontId="1" fillId="6" borderId="0" xfId="0" applyNumberFormat="1" applyFont="1" applyFill="1" applyAlignment="1">
      <alignment vertical="center"/>
    </xf>
    <xf numFmtId="177" fontId="1" fillId="6" borderId="0" xfId="0" applyNumberFormat="1" applyFont="1" applyFill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177" fontId="5" fillId="11" borderId="8" xfId="0" applyNumberFormat="1" applyFont="1" applyFill="1" applyBorder="1" applyAlignment="1">
      <alignment vertical="center"/>
    </xf>
    <xf numFmtId="177" fontId="5" fillId="8" borderId="8" xfId="0" applyNumberFormat="1" applyFont="1" applyFill="1" applyBorder="1">
      <alignment vertical="center"/>
    </xf>
    <xf numFmtId="177" fontId="12" fillId="0" borderId="2" xfId="0" applyNumberFormat="1" applyFont="1" applyBorder="1">
      <alignment vertical="center"/>
    </xf>
    <xf numFmtId="177" fontId="5" fillId="11" borderId="1" xfId="0" applyNumberFormat="1" applyFont="1" applyFill="1" applyBorder="1" applyAlignment="1">
      <alignment vertical="center"/>
    </xf>
    <xf numFmtId="177" fontId="5" fillId="8" borderId="1" xfId="0" applyNumberFormat="1" applyFont="1" applyFill="1" applyBorder="1">
      <alignment vertical="center"/>
    </xf>
    <xf numFmtId="0" fontId="5" fillId="0" borderId="0" xfId="0" applyFont="1">
      <alignment vertical="center"/>
    </xf>
    <xf numFmtId="0" fontId="1" fillId="0" borderId="0" xfId="0" applyFont="1" applyAlignment="1">
      <alignment vertical="top" wrapText="1"/>
    </xf>
    <xf numFmtId="176" fontId="1" fillId="0" borderId="0" xfId="0" applyNumberFormat="1" applyFont="1">
      <alignment vertical="center"/>
    </xf>
    <xf numFmtId="0" fontId="6" fillId="0" borderId="13" xfId="0" applyFont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9" xfId="0" applyFont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5" fillId="5" borderId="12" xfId="49" applyFont="1" applyFill="1" applyBorder="1" applyAlignment="1">
      <alignment horizontal="center" vertical="center"/>
    </xf>
    <xf numFmtId="0" fontId="25" fillId="5" borderId="9" xfId="49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26" fillId="0" borderId="8" xfId="0" applyFont="1" applyBorder="1">
      <alignment vertical="center"/>
    </xf>
    <xf numFmtId="181" fontId="27" fillId="5" borderId="1" xfId="3" applyNumberFormat="1" applyFont="1" applyFill="1" applyBorder="1">
      <alignment vertical="center"/>
    </xf>
    <xf numFmtId="0" fontId="19" fillId="0" borderId="10" xfId="0" applyFont="1" applyBorder="1">
      <alignment vertical="center"/>
    </xf>
    <xf numFmtId="0" fontId="28" fillId="0" borderId="10" xfId="0" applyFont="1" applyBorder="1">
      <alignment vertical="center"/>
    </xf>
    <xf numFmtId="0" fontId="27" fillId="0" borderId="10" xfId="0" applyFont="1" applyBorder="1">
      <alignment vertical="center"/>
    </xf>
    <xf numFmtId="0" fontId="29" fillId="0" borderId="8" xfId="0" applyFont="1" applyBorder="1" applyAlignment="1">
      <alignment horizontal="left" vertical="center" wrapText="1"/>
    </xf>
    <xf numFmtId="0" fontId="29" fillId="0" borderId="10" xfId="0" applyFont="1" applyBorder="1" applyAlignment="1">
      <alignment horizontal="left" vertical="center" wrapText="1"/>
    </xf>
    <xf numFmtId="0" fontId="29" fillId="0" borderId="11" xfId="0" applyFont="1" applyBorder="1" applyAlignment="1">
      <alignment horizontal="left" vertical="center" wrapText="1"/>
    </xf>
    <xf numFmtId="0" fontId="27" fillId="0" borderId="14" xfId="0" applyFont="1" applyBorder="1">
      <alignment vertical="center"/>
    </xf>
    <xf numFmtId="181" fontId="27" fillId="0" borderId="0" xfId="0" applyNumberFormat="1" applyFont="1">
      <alignment vertical="center"/>
    </xf>
    <xf numFmtId="0" fontId="30" fillId="0" borderId="0" xfId="0" applyFont="1" applyAlignment="1">
      <alignment horizontal="left" vertical="center"/>
    </xf>
    <xf numFmtId="0" fontId="29" fillId="0" borderId="14" xfId="0" applyFont="1" applyBorder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29" fillId="0" borderId="13" xfId="0" applyFont="1" applyBorder="1" applyAlignment="1">
      <alignment horizontal="left" vertical="center" wrapText="1"/>
    </xf>
    <xf numFmtId="0" fontId="26" fillId="0" borderId="14" xfId="0" applyFont="1" applyBorder="1">
      <alignment vertical="center"/>
    </xf>
    <xf numFmtId="181" fontId="27" fillId="5" borderId="1" xfId="0" applyNumberFormat="1" applyFont="1" applyFill="1" applyBorder="1">
      <alignment vertical="center"/>
    </xf>
    <xf numFmtId="0" fontId="19" fillId="0" borderId="0" xfId="0" applyFont="1">
      <alignment vertical="center"/>
    </xf>
    <xf numFmtId="0" fontId="27" fillId="0" borderId="0" xfId="0" applyFont="1">
      <alignment vertical="center"/>
    </xf>
    <xf numFmtId="182" fontId="27" fillId="0" borderId="0" xfId="0" applyNumberFormat="1" applyFont="1">
      <alignment vertical="center"/>
    </xf>
    <xf numFmtId="182" fontId="27" fillId="0" borderId="2" xfId="0" applyNumberFormat="1" applyFont="1" applyBorder="1" applyAlignment="1">
      <alignment horizontal="center" vertical="center"/>
    </xf>
    <xf numFmtId="182" fontId="27" fillId="0" borderId="3" xfId="0" applyNumberFormat="1" applyFont="1" applyBorder="1" applyAlignment="1">
      <alignment horizontal="center" vertical="center"/>
    </xf>
    <xf numFmtId="0" fontId="26" fillId="0" borderId="14" xfId="0" applyFont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30" fillId="0" borderId="2" xfId="0" applyFont="1" applyBorder="1">
      <alignment vertical="center"/>
    </xf>
    <xf numFmtId="0" fontId="30" fillId="0" borderId="3" xfId="0" applyFont="1" applyBorder="1">
      <alignment vertical="center"/>
    </xf>
    <xf numFmtId="0" fontId="30" fillId="0" borderId="4" xfId="0" applyFont="1" applyBorder="1">
      <alignment vertical="center"/>
    </xf>
    <xf numFmtId="0" fontId="31" fillId="0" borderId="14" xfId="0" applyFont="1" applyBorder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1" fillId="0" borderId="8" xfId="0" applyFont="1" applyBorder="1">
      <alignment vertical="center"/>
    </xf>
    <xf numFmtId="0" fontId="31" fillId="0" borderId="10" xfId="0" applyFont="1" applyBorder="1">
      <alignment vertical="center"/>
    </xf>
    <xf numFmtId="0" fontId="31" fillId="0" borderId="11" xfId="0" applyFont="1" applyBorder="1">
      <alignment vertical="center"/>
    </xf>
    <xf numFmtId="181" fontId="27" fillId="5" borderId="6" xfId="0" applyNumberFormat="1" applyFont="1" applyFill="1" applyBorder="1">
      <alignment vertical="center"/>
    </xf>
    <xf numFmtId="0" fontId="31" fillId="0" borderId="15" xfId="0" applyFont="1" applyBorder="1">
      <alignment vertical="center"/>
    </xf>
    <xf numFmtId="0" fontId="31" fillId="0" borderId="16" xfId="0" applyFont="1" applyBorder="1">
      <alignment vertical="center"/>
    </xf>
    <xf numFmtId="0" fontId="31" fillId="0" borderId="17" xfId="0" applyFont="1" applyBorder="1">
      <alignment vertical="center"/>
    </xf>
    <xf numFmtId="181" fontId="27" fillId="5" borderId="18" xfId="0" applyNumberFormat="1" applyFont="1" applyFill="1" applyBorder="1">
      <alignment vertical="center"/>
    </xf>
    <xf numFmtId="0" fontId="31" fillId="0" borderId="19" xfId="0" applyFont="1" applyBorder="1" applyAlignment="1">
      <alignment horizontal="left" vertical="center"/>
    </xf>
    <xf numFmtId="0" fontId="31" fillId="0" borderId="20" xfId="0" applyFont="1" applyBorder="1" applyAlignment="1">
      <alignment horizontal="left" vertical="center"/>
    </xf>
    <xf numFmtId="0" fontId="31" fillId="0" borderId="21" xfId="0" applyFont="1" applyBorder="1" applyAlignment="1">
      <alignment horizontal="left" vertical="center"/>
    </xf>
    <xf numFmtId="0" fontId="29" fillId="0" borderId="22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 wrapText="1"/>
    </xf>
    <xf numFmtId="0" fontId="31" fillId="0" borderId="23" xfId="0" applyFont="1" applyBorder="1">
      <alignment vertical="center"/>
    </xf>
    <xf numFmtId="0" fontId="31" fillId="0" borderId="3" xfId="0" applyFont="1" applyBorder="1">
      <alignment vertical="center"/>
    </xf>
    <xf numFmtId="0" fontId="31" fillId="0" borderId="4" xfId="0" applyFont="1" applyBorder="1">
      <alignment vertical="center"/>
    </xf>
    <xf numFmtId="0" fontId="31" fillId="0" borderId="24" xfId="0" applyFont="1" applyBorder="1" applyAlignment="1">
      <alignment horizontal="left" vertical="center"/>
    </xf>
    <xf numFmtId="0" fontId="29" fillId="0" borderId="25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24" xfId="0" applyFont="1" applyBorder="1" applyAlignment="1">
      <alignment horizontal="center" vertical="center" wrapText="1"/>
    </xf>
    <xf numFmtId="0" fontId="31" fillId="0" borderId="26" xfId="0" applyFont="1" applyBorder="1">
      <alignment vertical="center"/>
    </xf>
    <xf numFmtId="0" fontId="31" fillId="0" borderId="27" xfId="0" applyFont="1" applyBorder="1">
      <alignment vertical="center"/>
    </xf>
    <xf numFmtId="0" fontId="31" fillId="0" borderId="28" xfId="0" applyFont="1" applyBorder="1">
      <alignment vertical="center"/>
    </xf>
    <xf numFmtId="181" fontId="27" fillId="5" borderId="29" xfId="0" applyNumberFormat="1" applyFont="1" applyFill="1" applyBorder="1">
      <alignment vertical="center"/>
    </xf>
    <xf numFmtId="0" fontId="31" fillId="0" borderId="30" xfId="0" applyFont="1" applyBorder="1" applyAlignment="1">
      <alignment horizontal="left" vertical="center"/>
    </xf>
    <xf numFmtId="0" fontId="31" fillId="0" borderId="31" xfId="0" applyFont="1" applyBorder="1" applyAlignment="1">
      <alignment horizontal="left" vertical="center"/>
    </xf>
    <xf numFmtId="0" fontId="31" fillId="0" borderId="32" xfId="0" applyFont="1" applyBorder="1" applyAlignment="1">
      <alignment horizontal="left" vertical="center"/>
    </xf>
    <xf numFmtId="0" fontId="29" fillId="0" borderId="33" xfId="0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29" fillId="0" borderId="32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6" fillId="9" borderId="14" xfId="0" applyFont="1" applyFill="1" applyBorder="1">
      <alignment vertical="center"/>
    </xf>
    <xf numFmtId="0" fontId="14" fillId="9" borderId="0" xfId="0" applyFont="1" applyFill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32" fillId="0" borderId="12" xfId="0" applyFont="1" applyBorder="1">
      <alignment vertical="center"/>
    </xf>
    <xf numFmtId="0" fontId="28" fillId="0" borderId="5" xfId="0" applyFont="1" applyBorder="1" applyAlignment="1">
      <alignment horizontal="left" vertical="center"/>
    </xf>
    <xf numFmtId="0" fontId="27" fillId="0" borderId="5" xfId="0" applyFont="1" applyBorder="1">
      <alignment vertical="center"/>
    </xf>
    <xf numFmtId="0" fontId="33" fillId="0" borderId="6" xfId="0" applyFont="1" applyBorder="1" applyAlignment="1">
      <alignment horizontal="center" vertical="center"/>
    </xf>
    <xf numFmtId="0" fontId="34" fillId="5" borderId="6" xfId="0" applyFont="1" applyFill="1" applyBorder="1" applyAlignment="1">
      <alignment horizontal="center" vertical="center"/>
    </xf>
    <xf numFmtId="0" fontId="35" fillId="0" borderId="0" xfId="0" applyFont="1">
      <alignment vertical="center"/>
    </xf>
    <xf numFmtId="0" fontId="33" fillId="0" borderId="1" xfId="0" applyFont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horizontal="center" vertical="center" wrapText="1"/>
    </xf>
    <xf numFmtId="0" fontId="37" fillId="0" borderId="0" xfId="0" applyFont="1" applyFill="1" applyBorder="1" applyAlignment="1">
      <alignment horizontal="center" vertical="center"/>
    </xf>
    <xf numFmtId="0" fontId="38" fillId="5" borderId="1" xfId="0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29" fillId="0" borderId="12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29" fillId="0" borderId="9" xfId="0" applyFont="1" applyBorder="1" applyAlignment="1">
      <alignment horizontal="left" vertical="center" wrapText="1"/>
    </xf>
    <xf numFmtId="0" fontId="27" fillId="0" borderId="8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9" fillId="0" borderId="0" xfId="0" applyFont="1" applyAlignment="1">
      <alignment vertical="center" wrapText="1"/>
    </xf>
    <xf numFmtId="0" fontId="31" fillId="0" borderId="0" xfId="0" applyFont="1">
      <alignment vertical="center"/>
    </xf>
    <xf numFmtId="0" fontId="40" fillId="0" borderId="1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1" xfId="0" applyFont="1" applyBorder="1">
      <alignment vertical="center"/>
    </xf>
    <xf numFmtId="183" fontId="31" fillId="3" borderId="1" xfId="0" applyNumberFormat="1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27" fillId="0" borderId="12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19" fillId="0" borderId="10" xfId="0" applyFont="1" applyBorder="1" quotePrefix="1">
      <alignment vertical="center"/>
    </xf>
    <xf numFmtId="0" fontId="19" fillId="0" borderId="0" xfId="0" applyFont="1" quotePrefix="1">
      <alignment vertical="center"/>
    </xf>
    <xf numFmtId="0" fontId="31" fillId="0" borderId="14" xfId="0" applyFont="1" applyBorder="1" applyAlignment="1" quotePrefix="1">
      <alignment horizontal="left" vertical="center"/>
    </xf>
    <xf numFmtId="0" fontId="31" fillId="0" borderId="19" xfId="0" applyFont="1" applyBorder="1" applyAlignment="1" quotePrefix="1">
      <alignment horizontal="left" vertical="center"/>
    </xf>
    <xf numFmtId="0" fontId="31" fillId="0" borderId="30" xfId="0" applyFont="1" applyBorder="1" applyAlignment="1" quotePrefix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표준" xfId="49"/>
  </cellStyles>
  <tableStyles count="0" defaultTableStyle="TableStyleMedium9" defaultPivotStyle="PivotStyleLight16"/>
  <colors>
    <mruColors>
      <color rgb="00CCFFFF"/>
      <color rgb="0099FFCC"/>
      <color rgb="00CCFFCC"/>
      <color rgb="000000FF"/>
      <color rgb="00FFFFCC"/>
      <color rgb="00FF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638175</xdr:colOff>
      <xdr:row>28</xdr:row>
      <xdr:rowOff>122237</xdr:rowOff>
    </xdr:from>
    <xdr:to>
      <xdr:col>4</xdr:col>
      <xdr:colOff>654843</xdr:colOff>
      <xdr:row>34</xdr:row>
      <xdr:rowOff>47625</xdr:rowOff>
    </xdr:to>
    <xdr:cxnSp>
      <xdr:nvCxnSpPr>
        <xdr:cNvPr id="2" name="직선 화살표 연결선 1"/>
        <xdr:cNvCxnSpPr/>
      </xdr:nvCxnSpPr>
      <xdr:spPr>
        <a:xfrm>
          <a:off x="5046345" y="6202680"/>
          <a:ext cx="16510" cy="12020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28</xdr:row>
      <xdr:rowOff>112712</xdr:rowOff>
    </xdr:from>
    <xdr:to>
      <xdr:col>5</xdr:col>
      <xdr:colOff>668337</xdr:colOff>
      <xdr:row>34</xdr:row>
      <xdr:rowOff>71438</xdr:rowOff>
    </xdr:to>
    <xdr:cxnSp>
      <xdr:nvCxnSpPr>
        <xdr:cNvPr id="3" name="직선 화살표 연결선 2"/>
        <xdr:cNvCxnSpPr/>
      </xdr:nvCxnSpPr>
      <xdr:spPr>
        <a:xfrm flipH="1">
          <a:off x="6436995" y="6193155"/>
          <a:ext cx="1270" cy="1235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631031</xdr:colOff>
      <xdr:row>28</xdr:row>
      <xdr:rowOff>77788</xdr:rowOff>
    </xdr:from>
    <xdr:to>
      <xdr:col>7</xdr:col>
      <xdr:colOff>640556</xdr:colOff>
      <xdr:row>34</xdr:row>
      <xdr:rowOff>59531</xdr:rowOff>
    </xdr:to>
    <xdr:cxnSp>
      <xdr:nvCxnSpPr>
        <xdr:cNvPr id="6" name="직선 화살표 연결선 5"/>
        <xdr:cNvCxnSpPr/>
      </xdr:nvCxnSpPr>
      <xdr:spPr>
        <a:xfrm flipH="1">
          <a:off x="9124950" y="6158230"/>
          <a:ext cx="9525" cy="12579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304800</xdr:colOff>
      <xdr:row>18</xdr:row>
      <xdr:rowOff>158750</xdr:rowOff>
    </xdr:from>
    <xdr:to>
      <xdr:col>1</xdr:col>
      <xdr:colOff>311150</xdr:colOff>
      <xdr:row>24</xdr:row>
      <xdr:rowOff>28575</xdr:rowOff>
    </xdr:to>
    <xdr:cxnSp>
      <xdr:nvCxnSpPr>
        <xdr:cNvPr id="3" name="직선 화살표 연결선 2"/>
        <xdr:cNvCxnSpPr/>
      </xdr:nvCxnSpPr>
      <xdr:spPr>
        <a:xfrm>
          <a:off x="882650" y="3967480"/>
          <a:ext cx="6350" cy="11499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304800</xdr:colOff>
      <xdr:row>3</xdr:row>
      <xdr:rowOff>161925</xdr:rowOff>
    </xdr:from>
    <xdr:to>
      <xdr:col>0</xdr:col>
      <xdr:colOff>311150</xdr:colOff>
      <xdr:row>9</xdr:row>
      <xdr:rowOff>25400</xdr:rowOff>
    </xdr:to>
    <xdr:cxnSp>
      <xdr:nvCxnSpPr>
        <xdr:cNvPr id="7" name="직선 화살표 연결선 6"/>
        <xdr:cNvCxnSpPr/>
      </xdr:nvCxnSpPr>
      <xdr:spPr>
        <a:xfrm>
          <a:off x="304800" y="802005"/>
          <a:ext cx="6350" cy="11093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99FFCC"/>
  </sheetPr>
  <dimension ref="A1:T41"/>
  <sheetViews>
    <sheetView zoomScale="93" zoomScaleNormal="93" workbookViewId="0">
      <selection activeCell="D10" sqref="D10"/>
    </sheetView>
  </sheetViews>
  <sheetFormatPr defaultColWidth="9" defaultRowHeight="16.8"/>
  <cols>
    <col min="1" max="1" width="17.75" style="1" customWidth="1"/>
    <col min="2" max="3" width="9" style="1"/>
    <col min="4" max="4" width="15.5" style="1" customWidth="1"/>
    <col min="5" max="8" width="9" style="1"/>
    <col min="9" max="9" width="18.75" style="1" customWidth="1"/>
    <col min="10" max="10" width="2.125" style="1" customWidth="1"/>
    <col min="11" max="11" width="16.375" style="1" customWidth="1"/>
    <col min="12" max="12" width="14.625" style="1" customWidth="1"/>
    <col min="13" max="13" width="2.125" style="1" customWidth="1"/>
    <col min="14" max="15" width="9" style="1"/>
    <col min="16" max="16" width="2.125" style="1" customWidth="1"/>
    <col min="17" max="17" width="16.375" style="1" customWidth="1"/>
    <col min="18" max="18" width="14.875" style="1" customWidth="1"/>
    <col min="19" max="19" width="2.125" style="1" customWidth="1"/>
    <col min="20" max="16384" width="9" style="1"/>
  </cols>
  <sheetData>
    <row r="1" ht="16.5" customHeight="1" spans="1:20">
      <c r="A1" s="29" t="s">
        <v>0</v>
      </c>
      <c r="B1" s="163"/>
      <c r="C1" s="164" t="s">
        <v>1</v>
      </c>
      <c r="D1" s="165"/>
      <c r="E1" s="165"/>
      <c r="F1" s="165"/>
      <c r="G1" s="165"/>
      <c r="H1" s="165"/>
      <c r="I1" s="166"/>
      <c r="J1" s="167"/>
      <c r="K1" s="167"/>
      <c r="L1" s="167"/>
      <c r="M1" s="167"/>
    </row>
    <row r="2" ht="16.5" customHeight="1" spans="1:20">
      <c r="A2" s="125"/>
      <c r="B2" s="168"/>
      <c r="C2" s="169"/>
      <c r="D2" s="170"/>
      <c r="E2" s="170"/>
      <c r="F2" s="170"/>
      <c r="G2" s="170"/>
      <c r="H2" s="170"/>
      <c r="I2" s="171"/>
      <c r="J2" s="167"/>
      <c r="K2" s="167"/>
      <c r="L2" s="167"/>
      <c r="M2" s="167"/>
    </row>
    <row r="3" spans="1:20">
      <c r="A3" s="172" t="s">
        <v>2</v>
      </c>
      <c r="B3" s="173" t="s">
        <v>3</v>
      </c>
      <c r="C3" s="174"/>
    </row>
    <row r="4" spans="1:20">
      <c r="A4" s="172" t="s">
        <v>4</v>
      </c>
      <c r="B4" s="42">
        <v>46304</v>
      </c>
      <c r="C4" s="175"/>
      <c r="D4" s="3" t="str">
        <f>IF(WEEKDAY(B4)=1,"SUN",IF(WEEKDAY(B4)=2,"MON",IF(WEEKDAY(B4)=3,"TUE",IF(WEEKDAY(B4)=4,"WED",IF(WEEKDAY(B4)=5,"THU",IF(WEEKDAY(B4)=6,"FRI",IF(WEEKDAY(B4)=7,"SAT","-")))))))</f>
        <v>FRI</v>
      </c>
    </row>
    <row r="5" ht="21" spans="1:20">
      <c r="A5" s="176" t="s">
        <v>5</v>
      </c>
      <c r="B5" s="176"/>
      <c r="C5" s="176"/>
      <c r="D5" s="176"/>
      <c r="E5" s="176"/>
      <c r="F5" s="176"/>
      <c r="G5" s="176"/>
      <c r="H5" s="176"/>
      <c r="I5" s="176"/>
    </row>
    <row r="6" ht="6" customHeight="1" spans="1:20">
      <c r="A6" s="130"/>
      <c r="B6" s="131"/>
      <c r="C6" s="131"/>
      <c r="D6" s="131"/>
      <c r="E6" s="131"/>
      <c r="F6" s="131"/>
      <c r="G6" s="131"/>
      <c r="H6" s="131"/>
      <c r="I6" s="131"/>
    </row>
    <row r="7" ht="20.25" customHeight="1" spans="1:20">
      <c r="A7" s="177" t="s">
        <v>6</v>
      </c>
      <c r="B7" s="178">
        <v>10</v>
      </c>
      <c r="C7" s="273" t="s">
        <v>7</v>
      </c>
      <c r="D7" s="180"/>
      <c r="E7" s="181"/>
      <c r="F7" s="181"/>
      <c r="G7" s="181"/>
      <c r="H7" s="181"/>
      <c r="I7" s="181"/>
      <c r="N7" s="182" t="s">
        <v>8</v>
      </c>
      <c r="O7" s="183"/>
      <c r="P7" s="183"/>
      <c r="Q7" s="183"/>
      <c r="R7" s="183"/>
      <c r="S7" s="183"/>
      <c r="T7" s="184"/>
    </row>
    <row r="8" ht="17.45" customHeight="1" spans="1:20">
      <c r="A8" s="185"/>
      <c r="B8" s="186"/>
      <c r="C8" s="187"/>
      <c r="D8" s="187"/>
      <c r="E8" s="187"/>
      <c r="F8" s="187"/>
      <c r="G8" s="187"/>
      <c r="H8" s="187"/>
      <c r="I8" s="187"/>
      <c r="N8" s="188"/>
      <c r="O8" s="189"/>
      <c r="P8" s="189"/>
      <c r="Q8" s="189"/>
      <c r="R8" s="189"/>
      <c r="S8" s="189"/>
      <c r="T8" s="190"/>
    </row>
    <row r="9" ht="17.45" customHeight="1" spans="1:20">
      <c r="A9" s="191" t="s">
        <v>9</v>
      </c>
      <c r="B9" s="192">
        <v>15</v>
      </c>
      <c r="C9" s="274" t="s">
        <v>7</v>
      </c>
      <c r="D9" s="194"/>
      <c r="E9" s="194"/>
      <c r="F9" s="194"/>
      <c r="G9" s="194"/>
      <c r="H9" s="194"/>
      <c r="I9" s="194"/>
      <c r="N9" s="188"/>
      <c r="O9" s="189"/>
      <c r="P9" s="189"/>
      <c r="Q9" s="189"/>
      <c r="R9" s="189"/>
      <c r="S9" s="189"/>
      <c r="T9" s="190"/>
    </row>
    <row r="10" ht="17.45" customHeight="1" spans="1:20">
      <c r="A10" s="191"/>
      <c r="B10" s="195"/>
      <c r="C10" s="193"/>
      <c r="D10" s="194"/>
      <c r="E10" s="194"/>
      <c r="F10" s="194"/>
      <c r="G10" s="194"/>
      <c r="H10" s="194"/>
      <c r="I10" s="194"/>
      <c r="N10" s="188"/>
      <c r="O10" s="189"/>
      <c r="P10" s="189"/>
      <c r="Q10" s="189"/>
      <c r="R10" s="189"/>
      <c r="S10" s="189"/>
      <c r="T10" s="190"/>
    </row>
    <row r="11" ht="17.45" customHeight="1" spans="1:20">
      <c r="A11" s="191"/>
      <c r="B11" s="196" t="s">
        <v>10</v>
      </c>
      <c r="C11" s="197"/>
      <c r="D11" s="197"/>
      <c r="E11" s="197"/>
      <c r="F11" s="197"/>
      <c r="G11" s="197"/>
      <c r="H11" s="197"/>
      <c r="I11" s="197"/>
      <c r="N11" s="188"/>
      <c r="O11" s="189"/>
      <c r="P11" s="189"/>
      <c r="Q11" s="189"/>
      <c r="R11" s="189"/>
      <c r="S11" s="189"/>
      <c r="T11" s="190"/>
    </row>
    <row r="12" ht="17.45" customHeight="1" spans="1:20">
      <c r="A12" s="185"/>
      <c r="B12" s="194"/>
      <c r="C12" s="194"/>
      <c r="D12" s="194"/>
      <c r="E12" s="194"/>
      <c r="F12" s="194"/>
      <c r="G12" s="194"/>
      <c r="H12" s="194"/>
      <c r="I12" s="194"/>
      <c r="N12" s="188"/>
      <c r="O12" s="189"/>
      <c r="P12" s="189"/>
      <c r="Q12" s="189"/>
      <c r="R12" s="189"/>
      <c r="S12" s="189"/>
      <c r="T12" s="190"/>
    </row>
    <row r="13" ht="17.45" customHeight="1" spans="1:20">
      <c r="A13" s="198" t="s">
        <v>11</v>
      </c>
      <c r="B13" s="199"/>
      <c r="C13" s="194"/>
      <c r="D13" s="194"/>
      <c r="E13" s="194"/>
      <c r="F13" s="194"/>
      <c r="G13" s="194"/>
      <c r="H13" s="194"/>
      <c r="I13" s="194"/>
      <c r="N13" s="188"/>
      <c r="O13" s="189"/>
      <c r="P13" s="189"/>
      <c r="Q13" s="189"/>
      <c r="R13" s="189"/>
      <c r="S13" s="189"/>
      <c r="T13" s="190"/>
    </row>
    <row r="14" ht="17.45" customHeight="1" spans="1:20">
      <c r="A14" s="185"/>
      <c r="B14" s="200" t="s">
        <v>12</v>
      </c>
      <c r="C14" s="201"/>
      <c r="D14" s="202"/>
      <c r="E14" s="192">
        <v>40</v>
      </c>
      <c r="F14" s="275" t="s">
        <v>13</v>
      </c>
      <c r="G14" s="204"/>
      <c r="H14" s="204"/>
      <c r="I14" s="194"/>
      <c r="N14" s="188"/>
      <c r="O14" s="189"/>
      <c r="P14" s="189"/>
      <c r="Q14" s="189"/>
      <c r="R14" s="189"/>
      <c r="S14" s="189"/>
      <c r="T14" s="190"/>
    </row>
    <row r="15" ht="17.45" customHeight="1" spans="1:20">
      <c r="A15" s="185"/>
      <c r="B15" s="205" t="s">
        <v>14</v>
      </c>
      <c r="C15" s="206"/>
      <c r="D15" s="207"/>
      <c r="E15" s="208">
        <v>80</v>
      </c>
      <c r="F15" s="275" t="s">
        <v>13</v>
      </c>
      <c r="G15" s="204"/>
      <c r="H15" s="204"/>
      <c r="I15" s="194"/>
      <c r="N15" s="188"/>
      <c r="O15" s="189"/>
      <c r="P15" s="189"/>
      <c r="Q15" s="189"/>
      <c r="R15" s="189"/>
      <c r="S15" s="189"/>
      <c r="T15" s="190"/>
    </row>
    <row r="16" ht="17.45" customHeight="1" spans="1:20">
      <c r="A16" s="185"/>
      <c r="B16" s="209" t="s">
        <v>15</v>
      </c>
      <c r="C16" s="210"/>
      <c r="D16" s="211"/>
      <c r="E16" s="212">
        <v>10</v>
      </c>
      <c r="F16" s="276" t="s">
        <v>13</v>
      </c>
      <c r="G16" s="214"/>
      <c r="H16" s="215"/>
      <c r="I16" s="216" t="s">
        <v>16</v>
      </c>
      <c r="J16" s="217"/>
      <c r="K16" s="217"/>
      <c r="L16" s="218"/>
      <c r="N16" s="188"/>
      <c r="O16" s="189"/>
      <c r="P16" s="189"/>
      <c r="Q16" s="189"/>
      <c r="R16" s="189"/>
      <c r="S16" s="189"/>
      <c r="T16" s="190"/>
    </row>
    <row r="17" ht="17.45" customHeight="1" spans="1:20">
      <c r="A17" s="185"/>
      <c r="B17" s="219" t="s">
        <v>17</v>
      </c>
      <c r="C17" s="220"/>
      <c r="D17" s="221"/>
      <c r="E17" s="192">
        <v>10</v>
      </c>
      <c r="F17" s="275" t="s">
        <v>13</v>
      </c>
      <c r="G17" s="204"/>
      <c r="H17" s="222"/>
      <c r="I17" s="223"/>
      <c r="J17" s="224"/>
      <c r="K17" s="224"/>
      <c r="L17" s="225"/>
      <c r="N17" s="188"/>
      <c r="O17" s="189"/>
      <c r="P17" s="189"/>
      <c r="Q17" s="189"/>
      <c r="R17" s="189"/>
      <c r="S17" s="189"/>
      <c r="T17" s="190"/>
    </row>
    <row r="18" ht="17.45" customHeight="1" spans="1:20">
      <c r="A18" s="185"/>
      <c r="B18" s="226" t="s">
        <v>18</v>
      </c>
      <c r="C18" s="227"/>
      <c r="D18" s="228"/>
      <c r="E18" s="229">
        <v>10</v>
      </c>
      <c r="F18" s="277" t="s">
        <v>13</v>
      </c>
      <c r="G18" s="231"/>
      <c r="H18" s="232"/>
      <c r="I18" s="233"/>
      <c r="J18" s="234"/>
      <c r="K18" s="234"/>
      <c r="L18" s="235"/>
      <c r="N18" s="188"/>
      <c r="O18" s="189"/>
      <c r="P18" s="189"/>
      <c r="Q18" s="189"/>
      <c r="R18" s="189"/>
      <c r="S18" s="189"/>
      <c r="T18" s="190"/>
    </row>
    <row r="19" ht="17.45" customHeight="1" spans="1:20">
      <c r="A19" s="185"/>
      <c r="B19" s="236"/>
      <c r="C19" s="236"/>
      <c r="D19" s="236"/>
      <c r="E19" s="195"/>
      <c r="F19" s="204"/>
      <c r="G19" s="204"/>
      <c r="H19" s="204"/>
      <c r="I19" s="194"/>
      <c r="N19" s="188"/>
      <c r="O19" s="189"/>
      <c r="P19" s="189"/>
      <c r="Q19" s="189"/>
      <c r="R19" s="189"/>
      <c r="S19" s="189"/>
      <c r="T19" s="190"/>
    </row>
    <row r="20" ht="17.45" customHeight="1" spans="1:20">
      <c r="A20" s="191" t="s">
        <v>19</v>
      </c>
      <c r="B20" s="237" t="s">
        <v>20</v>
      </c>
      <c r="C20" s="237"/>
      <c r="D20" s="237"/>
      <c r="E20" s="237"/>
      <c r="F20" s="237"/>
      <c r="G20" s="237"/>
      <c r="H20" s="237"/>
      <c r="I20" s="237"/>
      <c r="N20" s="188"/>
      <c r="O20" s="189"/>
      <c r="P20" s="189"/>
      <c r="Q20" s="189"/>
      <c r="R20" s="189"/>
      <c r="S20" s="189"/>
      <c r="T20" s="190"/>
    </row>
    <row r="21" ht="17.45" customHeight="1" spans="1:20">
      <c r="A21" s="238" t="s">
        <v>21</v>
      </c>
      <c r="B21" s="239" t="s">
        <v>22</v>
      </c>
      <c r="C21" s="239"/>
      <c r="D21" s="239"/>
      <c r="E21" s="239"/>
      <c r="F21" s="239"/>
      <c r="G21" s="239"/>
      <c r="H21" s="239"/>
      <c r="I21" s="239"/>
      <c r="N21" s="188"/>
      <c r="O21" s="189"/>
      <c r="P21" s="189"/>
      <c r="Q21" s="189"/>
      <c r="R21" s="189"/>
      <c r="S21" s="189"/>
      <c r="T21" s="190"/>
    </row>
    <row r="22" ht="17.45" customHeight="1" spans="1:20">
      <c r="A22" s="185" t="s">
        <v>23</v>
      </c>
      <c r="B22" s="240" t="s">
        <v>24</v>
      </c>
      <c r="C22" s="240"/>
      <c r="D22" s="240"/>
      <c r="E22" s="240"/>
      <c r="F22" s="240"/>
      <c r="G22" s="194"/>
      <c r="H22" s="194"/>
      <c r="I22" s="194"/>
      <c r="N22" s="188"/>
      <c r="O22" s="189"/>
      <c r="P22" s="189"/>
      <c r="Q22" s="189"/>
      <c r="R22" s="189"/>
      <c r="S22" s="189"/>
      <c r="T22" s="190"/>
    </row>
    <row r="23" ht="17.45" customHeight="1" spans="1:20">
      <c r="A23" s="241" t="s">
        <v>25</v>
      </c>
      <c r="B23" s="242" t="s">
        <v>26</v>
      </c>
      <c r="C23" s="242"/>
      <c r="D23" s="242"/>
      <c r="E23" s="242"/>
      <c r="F23" s="242"/>
      <c r="G23" s="243"/>
      <c r="H23" s="243"/>
      <c r="I23" s="243"/>
      <c r="N23" s="188"/>
      <c r="O23" s="189"/>
      <c r="P23" s="189"/>
      <c r="Q23" s="189"/>
      <c r="R23" s="189"/>
      <c r="S23" s="189"/>
      <c r="T23" s="190"/>
    </row>
    <row r="24" spans="1:20">
      <c r="E24" s="1" t="s">
        <v>27</v>
      </c>
      <c r="N24" s="188"/>
      <c r="O24" s="189"/>
      <c r="P24" s="189"/>
      <c r="Q24" s="189"/>
      <c r="R24" s="189"/>
      <c r="S24" s="189"/>
      <c r="T24" s="190"/>
    </row>
    <row r="25" ht="17.6" spans="1:20">
      <c r="A25" s="244" t="s">
        <v>28</v>
      </c>
      <c r="B25" s="245" t="inlineStr">
        <is>
          <t>김경수</t>
        </is>
      </c>
      <c r="C25" s="246"/>
      <c r="D25" s="246"/>
      <c r="E25" s="246"/>
      <c r="F25" s="246"/>
      <c r="G25" s="246"/>
      <c r="H25" s="246"/>
      <c r="I25" s="246"/>
      <c r="J25" s="246"/>
      <c r="K25" s="246"/>
      <c r="L25" s="246"/>
      <c r="N25" s="188"/>
      <c r="O25" s="189"/>
      <c r="P25" s="189"/>
      <c r="Q25" s="189"/>
      <c r="R25" s="189"/>
      <c r="S25" s="189"/>
      <c r="T25" s="190"/>
    </row>
    <row r="26" ht="16.5" customHeight="1" spans="1:20">
      <c r="A26" s="247" t="s">
        <v>30</v>
      </c>
      <c r="B26" s="245" t="inlineStr">
        <is>
          <t>박준형</t>
        </is>
      </c>
      <c r="C26" s="248"/>
      <c r="D26" s="249" t="s">
        <v>32</v>
      </c>
      <c r="E26" s="249"/>
      <c r="F26" s="249"/>
      <c r="G26" s="249"/>
      <c r="H26" s="249"/>
      <c r="I26" s="249"/>
      <c r="J26" s="249"/>
      <c r="K26" s="249"/>
      <c r="L26" s="249"/>
      <c r="N26" s="188"/>
      <c r="O26" s="189"/>
      <c r="P26" s="189"/>
      <c r="Q26" s="189"/>
      <c r="R26" s="189"/>
      <c r="S26" s="189"/>
      <c r="T26" s="190"/>
    </row>
    <row r="27" ht="17.6" spans="1:20">
      <c r="A27" s="247" t="s">
        <v>33</v>
      </c>
      <c r="B27" s="245" t="inlineStr">
        <is>
          <t>Jacob</t>
        </is>
      </c>
      <c r="C27" s="250"/>
      <c r="D27" s="246"/>
      <c r="E27" s="246"/>
      <c r="F27" s="246"/>
      <c r="G27" s="246"/>
      <c r="H27" s="246"/>
      <c r="I27" s="246"/>
      <c r="J27" s="246"/>
      <c r="K27" s="246"/>
      <c r="L27" s="246"/>
      <c r="N27" s="188"/>
      <c r="O27" s="189"/>
      <c r="P27" s="189"/>
      <c r="Q27" s="189"/>
      <c r="R27" s="189"/>
      <c r="S27" s="189"/>
      <c r="T27" s="190"/>
    </row>
    <row r="28" ht="17.6" spans="1:20">
      <c r="A28" s="247" t="s">
        <v>35</v>
      </c>
      <c r="B28" s="245" t="inlineStr">
        <is>
          <t>장단비</t>
        </is>
      </c>
      <c r="C28" s="251" t="inlineStr">
        <is>
          <t>홍예나</t>
        </is>
      </c>
      <c r="D28" s="246"/>
      <c r="E28" s="246"/>
      <c r="F28" s="246"/>
      <c r="G28" s="246"/>
      <c r="H28" s="246"/>
      <c r="I28" s="246"/>
      <c r="J28" s="246"/>
      <c r="K28" s="246"/>
      <c r="L28" s="246"/>
      <c r="N28" s="188"/>
      <c r="O28" s="189"/>
      <c r="P28" s="189"/>
      <c r="Q28" s="189"/>
      <c r="R28" s="189"/>
      <c r="S28" s="189"/>
      <c r="T28" s="190"/>
    </row>
    <row r="29" ht="17.6" spans="1:20">
      <c r="A29" s="247" t="s">
        <v>38</v>
      </c>
      <c r="B29" s="252" t="inlineStr">
        <is>
          <t>채영찬</t>
        </is>
      </c>
      <c r="C29" s="253"/>
      <c r="D29" s="246"/>
      <c r="E29" s="246"/>
      <c r="F29" s="246"/>
      <c r="G29" s="246"/>
      <c r="H29" s="246"/>
      <c r="I29" s="246"/>
      <c r="J29" s="246"/>
      <c r="K29" s="246"/>
      <c r="L29" s="246"/>
      <c r="N29" s="188"/>
      <c r="O29" s="189"/>
      <c r="P29" s="189"/>
      <c r="Q29" s="189"/>
      <c r="R29" s="189"/>
      <c r="S29" s="189"/>
      <c r="T29" s="190"/>
    </row>
    <row r="30" spans="1:20">
      <c r="N30" s="188"/>
      <c r="O30" s="189"/>
      <c r="P30" s="189"/>
      <c r="Q30" s="189"/>
      <c r="R30" s="189"/>
      <c r="S30" s="189"/>
      <c r="T30" s="190"/>
    </row>
    <row r="31" spans="1:20">
      <c r="N31" s="254"/>
      <c r="O31" s="255"/>
      <c r="P31" s="255"/>
      <c r="Q31" s="255"/>
      <c r="R31" s="255"/>
      <c r="S31" s="255"/>
      <c r="T31" s="256"/>
    </row>
    <row r="32" ht="23.2" spans="1:20">
      <c r="B32" s="257" t="s">
        <v>40</v>
      </c>
      <c r="C32" s="258"/>
      <c r="D32" s="258"/>
      <c r="E32" s="258"/>
      <c r="F32" s="258"/>
      <c r="G32" s="258"/>
      <c r="H32" s="259"/>
      <c r="I32" s="260"/>
      <c r="J32" s="261"/>
      <c r="K32" s="262">
        <v>2026</v>
      </c>
      <c r="L32" s="262"/>
      <c r="M32" s="261"/>
    </row>
    <row r="33" ht="71" spans="2:13">
      <c r="B33" s="263"/>
      <c r="C33" s="264"/>
      <c r="D33" s="264"/>
      <c r="E33" s="264"/>
      <c r="F33" s="264"/>
      <c r="G33" s="264"/>
      <c r="H33" s="265"/>
      <c r="I33" s="260"/>
      <c r="J33" s="261"/>
      <c r="K33" s="266" t="s">
        <v>41</v>
      </c>
      <c r="L33" s="266" t="s">
        <v>42</v>
      </c>
      <c r="M33" s="261"/>
    </row>
    <row r="34" ht="14.1" customHeight="1" spans="2:13">
      <c r="B34" s="263"/>
      <c r="C34" s="264"/>
      <c r="D34" s="264"/>
      <c r="E34" s="264"/>
      <c r="F34" s="264"/>
      <c r="G34" s="264"/>
      <c r="H34" s="265"/>
      <c r="I34" s="260"/>
      <c r="J34" s="261"/>
      <c r="K34" s="267"/>
      <c r="L34" s="268">
        <f>B4</f>
        <v>46304</v>
      </c>
      <c r="M34" s="236">
        <v>0</v>
      </c>
    </row>
    <row r="35" ht="14.1" customHeight="1" spans="2:13">
      <c r="B35" s="263"/>
      <c r="C35" s="264"/>
      <c r="D35" s="264"/>
      <c r="E35" s="264"/>
      <c r="F35" s="264"/>
      <c r="G35" s="264"/>
      <c r="H35" s="265"/>
      <c r="I35" s="260"/>
      <c r="J35" s="236">
        <v>0</v>
      </c>
      <c r="K35" s="268">
        <f>L34+3</f>
        <v>46307</v>
      </c>
      <c r="L35" s="268">
        <f>L34+7</f>
        <v>46311</v>
      </c>
      <c r="M35" s="236">
        <v>1</v>
      </c>
    </row>
    <row r="36" ht="14.1" customHeight="1" spans="2:13">
      <c r="B36" s="263"/>
      <c r="C36" s="264"/>
      <c r="D36" s="264"/>
      <c r="E36" s="264"/>
      <c r="F36" s="264"/>
      <c r="G36" s="264"/>
      <c r="H36" s="265"/>
      <c r="I36" s="260"/>
      <c r="J36" s="236">
        <v>1</v>
      </c>
      <c r="K36" s="268">
        <f t="shared" ref="K36:K41" si="0">L35+3</f>
        <v>46314</v>
      </c>
      <c r="L36" s="268">
        <f t="shared" ref="L36:L40" si="1">L35+7</f>
        <v>46318</v>
      </c>
      <c r="M36" s="236">
        <v>2</v>
      </c>
    </row>
    <row r="37" ht="14.1" customHeight="1" spans="2:13">
      <c r="B37" s="263"/>
      <c r="C37" s="264"/>
      <c r="D37" s="264"/>
      <c r="E37" s="264"/>
      <c r="F37" s="264"/>
      <c r="G37" s="264"/>
      <c r="H37" s="265"/>
      <c r="I37" s="260"/>
      <c r="J37" s="236">
        <v>2</v>
      </c>
      <c r="K37" s="268">
        <f t="shared" si="0"/>
        <v>46321</v>
      </c>
      <c r="L37" s="268">
        <f t="shared" si="1"/>
        <v>46325</v>
      </c>
      <c r="M37" s="236">
        <v>3</v>
      </c>
    </row>
    <row r="38" ht="14.1" customHeight="1" spans="2:13">
      <c r="B38" s="263"/>
      <c r="C38" s="264"/>
      <c r="D38" s="264"/>
      <c r="E38" s="264"/>
      <c r="F38" s="264"/>
      <c r="G38" s="264"/>
      <c r="H38" s="265"/>
      <c r="I38" s="260"/>
      <c r="J38" s="236">
        <v>3</v>
      </c>
      <c r="K38" s="268">
        <f t="shared" si="0"/>
        <v>46328</v>
      </c>
      <c r="L38" s="268">
        <f t="shared" si="1"/>
        <v>46332</v>
      </c>
      <c r="M38" s="236">
        <v>4</v>
      </c>
    </row>
    <row r="39" ht="14.1" customHeight="1" spans="2:13">
      <c r="B39" s="263"/>
      <c r="C39" s="264"/>
      <c r="D39" s="264"/>
      <c r="E39" s="264"/>
      <c r="F39" s="264"/>
      <c r="G39" s="264"/>
      <c r="H39" s="265"/>
      <c r="I39" s="260"/>
      <c r="J39" s="236">
        <v>4</v>
      </c>
      <c r="K39" s="268">
        <f t="shared" si="0"/>
        <v>46335</v>
      </c>
      <c r="L39" s="268">
        <f t="shared" si="1"/>
        <v>46339</v>
      </c>
      <c r="M39" s="236">
        <v>5</v>
      </c>
    </row>
    <row r="40" ht="14.1" customHeight="1" spans="2:13">
      <c r="B40" s="263"/>
      <c r="C40" s="264"/>
      <c r="D40" s="264"/>
      <c r="E40" s="264"/>
      <c r="F40" s="264"/>
      <c r="G40" s="264"/>
      <c r="H40" s="265"/>
      <c r="I40" s="260"/>
      <c r="J40" s="236">
        <v>5</v>
      </c>
      <c r="K40" s="268">
        <f t="shared" si="0"/>
        <v>46342</v>
      </c>
      <c r="L40" s="268">
        <f t="shared" si="1"/>
        <v>46346</v>
      </c>
      <c r="M40" s="269">
        <v>6</v>
      </c>
    </row>
    <row r="41" ht="14.1" customHeight="1" spans="2:13">
      <c r="B41" s="270"/>
      <c r="C41" s="271"/>
      <c r="D41" s="271"/>
      <c r="E41" s="271"/>
      <c r="F41" s="271"/>
      <c r="G41" s="271"/>
      <c r="H41" s="272"/>
      <c r="I41" s="260"/>
      <c r="J41" s="269">
        <v>6</v>
      </c>
      <c r="K41" s="268">
        <f t="shared" si="0"/>
        <v>46349</v>
      </c>
      <c r="L41" s="236"/>
      <c r="M41" s="261"/>
    </row>
  </sheetData>
  <mergeCells count="28">
    <mergeCell ref="B3:C3"/>
    <mergeCell ref="B4:C4"/>
    <mergeCell ref="A5:I5"/>
    <mergeCell ref="A6:I6"/>
    <mergeCell ref="C8:I8"/>
    <mergeCell ref="B11:I11"/>
    <mergeCell ref="A13:B13"/>
    <mergeCell ref="B14:D14"/>
    <mergeCell ref="F14:H14"/>
    <mergeCell ref="B15:D15"/>
    <mergeCell ref="F15:H15"/>
    <mergeCell ref="B16:D16"/>
    <mergeCell ref="F16:H16"/>
    <mergeCell ref="B17:D17"/>
    <mergeCell ref="F17:H17"/>
    <mergeCell ref="B18:D18"/>
    <mergeCell ref="F18:H18"/>
    <mergeCell ref="B20:I20"/>
    <mergeCell ref="B21:I21"/>
    <mergeCell ref="B22:F22"/>
    <mergeCell ref="B23:F23"/>
    <mergeCell ref="D26:L26"/>
    <mergeCell ref="K32:L32"/>
    <mergeCell ref="C1:I2"/>
    <mergeCell ref="A1:B2"/>
    <mergeCell ref="N7:T31"/>
    <mergeCell ref="I16:L18"/>
    <mergeCell ref="B32:H41"/>
  </mergeCells>
  <pageMargins left="0.7" right="0.7" top="0.75" bottom="0.75" header="0.3" footer="0.3"/>
  <pageSetup paperSize="13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V32"/>
  <sheetViews>
    <sheetView tabSelected="1" zoomScale="90" zoomScaleNormal="90" workbookViewId="0">
      <pane xSplit="2" ySplit="5" topLeftCell="C6" activePane="bottomRight" state="frozenSplit"/>
      <selection/>
      <selection pane="topRight"/>
      <selection pane="bottomLeft"/>
      <selection pane="bottomRight" activeCell="G25" sqref="G25"/>
    </sheetView>
  </sheetViews>
  <sheetFormatPr defaultColWidth="9" defaultRowHeight="16.8"/>
  <cols>
    <col min="1" max="2" width="20.625" style="1" customWidth="1"/>
    <col min="3" max="3" width="4.75" style="1" customWidth="1"/>
    <col min="4" max="4" width="22.625" style="1" customWidth="1"/>
    <col min="5" max="12" width="20.625" style="1" customWidth="1"/>
    <col min="13" max="16384" width="9" style="1"/>
  </cols>
  <sheetData>
    <row r="1" ht="16.5" customHeight="1" spans="1:22">
      <c r="A1" s="29" t="str">
        <f>'Risk Mgmt'!A1</f>
        <v>DBA4014</v>
      </c>
      <c r="B1" s="29"/>
      <c r="C1" s="31" t="s">
        <v>43</v>
      </c>
      <c r="D1" s="31"/>
      <c r="E1" s="31"/>
      <c r="F1" s="31"/>
      <c r="G1" s="31"/>
      <c r="H1" s="31"/>
      <c r="I1" s="31"/>
      <c r="J1" s="32" t="s">
        <v>44</v>
      </c>
      <c r="K1" s="33" t="str">
        <f>TEXT(B4,"YYYY-MM-DD")</f>
        <v>2026-10-09</v>
      </c>
      <c r="L1" s="33"/>
    </row>
    <row r="2" ht="16.5" customHeight="1" spans="1:22">
      <c r="A2" s="125"/>
      <c r="B2" s="125"/>
      <c r="C2" s="31"/>
      <c r="D2" s="31"/>
      <c r="E2" s="31"/>
      <c r="F2" s="31"/>
      <c r="G2" s="31"/>
      <c r="H2" s="31"/>
      <c r="I2" s="31"/>
      <c r="J2" s="35"/>
      <c r="K2" s="33"/>
      <c r="L2" s="33"/>
    </row>
    <row r="3" spans="1:22">
      <c r="A3" s="4" t="s">
        <v>2</v>
      </c>
      <c r="B3" s="126" t="s">
        <v>3</v>
      </c>
      <c r="C3" s="37"/>
      <c r="D3" s="38" t="s">
        <v>28</v>
      </c>
      <c r="E3" s="38" t="s">
        <v>30</v>
      </c>
      <c r="F3" s="39" t="s">
        <v>33</v>
      </c>
      <c r="G3" s="40" t="str">
        <f>'Risk Mgmt'!B27</f>
        <v>Jacob</v>
      </c>
      <c r="H3" s="39" t="s">
        <v>35</v>
      </c>
      <c r="I3" s="40" t="str">
        <f>'Risk Mgmt'!B28</f>
        <v>장단비</v>
      </c>
      <c r="J3" s="39" t="s">
        <v>38</v>
      </c>
      <c r="K3" s="41" t="str">
        <f>'Risk Mgmt'!B29</f>
        <v>채영찬</v>
      </c>
    </row>
    <row r="4" spans="1:22">
      <c r="A4" s="1" t="s">
        <v>45</v>
      </c>
      <c r="B4" s="42">
        <f>'Risk Mgmt'!B4</f>
        <v>46304</v>
      </c>
      <c r="C4" s="43" t="str">
        <f>IF(WEEKDAY(B4)=1,"SUN",IF(WEEKDAY(B4)=2,"MON",IF(WEEKDAY(B4)=3,"TUE",IF(WEEKDAY(B4)=4,"WED",IF(WEEKDAY(B4)=5,"THU",IF(WEEKDAY(B4)=6,"FRI",IF(WEEKDAY(B4)=7,"SAT","-")))))))</f>
        <v>FRI</v>
      </c>
      <c r="D4" s="40" t="str">
        <f>'Risk Mgmt'!B25</f>
        <v>김경수</v>
      </c>
      <c r="E4" s="40" t="str">
        <f>'Risk Mgmt'!B26</f>
        <v>박준형</v>
      </c>
      <c r="F4" s="44"/>
      <c r="G4" s="40">
        <f>'Risk Mgmt'!C27</f>
        <v>0</v>
      </c>
      <c r="H4" s="44"/>
      <c r="I4" s="40" t="str">
        <f>'Risk Mgmt'!C28</f>
        <v>홍예나</v>
      </c>
      <c r="J4" s="44"/>
      <c r="K4" s="41">
        <f>'Risk Mgmt'!C29</f>
        <v>0</v>
      </c>
    </row>
    <row r="5" spans="1:22">
      <c r="A5" s="45" t="s">
        <v>46</v>
      </c>
      <c r="B5" s="46">
        <f>B4+3</f>
        <v>46307</v>
      </c>
      <c r="C5" s="47" t="str">
        <f>IF(WEEKDAY(B5)=1,"SUN",IF(WEEKDAY(B5)=2,"MON",IF(WEEKDAY(B5)=3,"TUE",IF(WEEKDAY(B5)=4,"WED",IF(WEEKDAY(B5)=5,"THU",IF(WEEKDAY(B5)=6,"FRI",IF(WEEKDAY(B5)=7,"SAT","-")))))))</f>
        <v>MON</v>
      </c>
      <c r="I5" s="58"/>
      <c r="J5" s="58"/>
      <c r="M5" s="58"/>
      <c r="N5" s="58"/>
      <c r="O5" s="58"/>
      <c r="P5" s="58"/>
      <c r="Q5" s="58"/>
      <c r="R5" s="58"/>
      <c r="S5" s="58"/>
      <c r="T5" s="58"/>
      <c r="U5" s="58"/>
      <c r="V5" s="58"/>
    </row>
    <row r="6" ht="14.25" customHeight="1" spans="1:22">
      <c r="A6" s="127">
        <v>10000000000</v>
      </c>
      <c r="B6" s="127"/>
      <c r="C6" s="48"/>
      <c r="D6" s="50" t="s">
        <v>47</v>
      </c>
      <c r="E6" s="51" t="s">
        <v>6</v>
      </c>
      <c r="F6" s="51" t="s">
        <v>9</v>
      </c>
      <c r="G6" s="51" t="s">
        <v>48</v>
      </c>
      <c r="H6" s="51" t="s">
        <v>49</v>
      </c>
      <c r="I6" s="52" t="s">
        <v>50</v>
      </c>
      <c r="J6" s="52" t="s">
        <v>51</v>
      </c>
      <c r="K6" s="128" t="s">
        <v>52</v>
      </c>
    </row>
    <row r="7" spans="1:22">
      <c r="A7" s="53" t="s">
        <v>53</v>
      </c>
      <c r="B7" s="53"/>
      <c r="C7" s="48"/>
      <c r="D7" s="129"/>
      <c r="E7" s="55">
        <f>'Risk Mgmt'!B7/100</f>
        <v>0.1</v>
      </c>
      <c r="F7" s="55">
        <f>'Risk Mgmt'!B9/100</f>
        <v>0.15</v>
      </c>
      <c r="G7" s="55">
        <f>'Risk Mgmt'!E14/100</f>
        <v>0.4</v>
      </c>
      <c r="H7" s="55">
        <f>'Risk Mgmt'!E15/100</f>
        <v>0.8</v>
      </c>
      <c r="I7" s="56">
        <f>'Risk Mgmt'!E16/100</f>
        <v>0.1</v>
      </c>
      <c r="J7" s="56">
        <f>'Risk Mgmt'!E17/100</f>
        <v>0.1</v>
      </c>
      <c r="K7" s="56">
        <f>'Risk Mgmt'!E18/100</f>
        <v>0.1</v>
      </c>
    </row>
    <row r="8" ht="17.25" customHeight="1" spans="1:22">
      <c r="A8" s="58"/>
      <c r="B8" s="58"/>
      <c r="C8" s="58"/>
      <c r="E8" s="117"/>
      <c r="F8" s="117"/>
      <c r="G8" s="58"/>
      <c r="H8" s="117"/>
      <c r="I8" s="58"/>
      <c r="J8" s="58"/>
      <c r="K8" s="58"/>
      <c r="L8" s="58"/>
    </row>
    <row r="9" ht="20.4" spans="1:22">
      <c r="A9" s="130" t="s">
        <v>54</v>
      </c>
      <c r="B9" s="131"/>
      <c r="C9" s="131"/>
      <c r="D9" s="131"/>
      <c r="E9" s="76">
        <v>1</v>
      </c>
      <c r="F9" s="60">
        <v>2</v>
      </c>
      <c r="G9" s="60">
        <v>3</v>
      </c>
      <c r="H9" s="60">
        <v>4</v>
      </c>
      <c r="I9" s="60">
        <v>5</v>
      </c>
      <c r="J9" s="60">
        <v>6</v>
      </c>
      <c r="K9" s="60">
        <v>7</v>
      </c>
      <c r="L9" s="60">
        <v>8</v>
      </c>
    </row>
    <row r="10" ht="20.4" spans="1:22">
      <c r="A10" s="132" t="s">
        <v>55</v>
      </c>
      <c r="B10" s="132"/>
      <c r="C10" s="132"/>
      <c r="D10" s="133"/>
      <c r="E10" s="41" t="s">
        <v>56</v>
      </c>
      <c r="F10" s="23" t="s">
        <v>56</v>
      </c>
      <c r="G10" s="40" t="s">
        <v>56</v>
      </c>
      <c r="H10" s="23" t="s">
        <v>56</v>
      </c>
      <c r="I10" s="40" t="s">
        <v>56</v>
      </c>
      <c r="J10" s="23" t="s">
        <v>56</v>
      </c>
      <c r="K10" s="40"/>
      <c r="L10" s="23"/>
    </row>
    <row r="11" spans="1:22">
      <c r="A11" s="64" t="s">
        <v>57</v>
      </c>
      <c r="B11" s="64"/>
      <c r="C11" s="58"/>
      <c r="D11" s="58"/>
      <c r="E11" s="118" t="s">
        <v>58</v>
      </c>
      <c r="F11" s="80" t="s">
        <v>59</v>
      </c>
      <c r="G11" s="79" t="s">
        <v>60</v>
      </c>
      <c r="H11" s="80" t="s">
        <v>61</v>
      </c>
      <c r="I11" s="79" t="s">
        <v>62</v>
      </c>
      <c r="J11" s="80" t="s">
        <v>63</v>
      </c>
      <c r="K11" s="79"/>
      <c r="L11" s="80"/>
    </row>
    <row r="12" spans="1:22">
      <c r="A12" s="64" t="s">
        <v>64</v>
      </c>
      <c r="B12" s="64"/>
      <c r="C12" s="58"/>
      <c r="D12" s="58"/>
      <c r="E12" s="41" t="s">
        <v>65</v>
      </c>
      <c r="F12" s="23" t="s">
        <v>66</v>
      </c>
      <c r="G12" s="40" t="s">
        <v>67</v>
      </c>
      <c r="H12" s="23" t="s">
        <v>68</v>
      </c>
      <c r="I12" s="40" t="s">
        <v>69</v>
      </c>
      <c r="J12" s="23" t="s">
        <v>70</v>
      </c>
      <c r="K12" s="40"/>
      <c r="L12" s="23"/>
    </row>
    <row r="13" spans="1:22">
      <c r="A13" s="65" t="s">
        <v>71</v>
      </c>
      <c r="B13" s="66"/>
      <c r="C13" s="58"/>
      <c r="D13" s="58"/>
      <c r="E13" s="41" t="s">
        <v>48</v>
      </c>
      <c r="F13" s="81" t="s">
        <v>48</v>
      </c>
      <c r="G13" s="41" t="s">
        <v>48</v>
      </c>
      <c r="H13" s="134" t="s">
        <v>48</v>
      </c>
      <c r="I13" s="41" t="s">
        <v>48</v>
      </c>
      <c r="J13" s="81" t="s">
        <v>48</v>
      </c>
      <c r="K13" s="41"/>
      <c r="L13" s="81"/>
    </row>
    <row r="14" ht="17" spans="1:22">
      <c r="A14" s="64" t="s">
        <v>72</v>
      </c>
      <c r="B14" s="64"/>
      <c r="C14" s="58"/>
      <c r="D14" s="58"/>
      <c r="E14" s="119">
        <v>23663</v>
      </c>
      <c r="F14" s="83">
        <v>2400</v>
      </c>
      <c r="G14" s="82">
        <v>1790</v>
      </c>
      <c r="H14" s="83">
        <v>7001</v>
      </c>
      <c r="I14" s="82">
        <v>8159</v>
      </c>
      <c r="J14" s="83">
        <v>34001</v>
      </c>
      <c r="K14" s="82"/>
      <c r="L14" s="83"/>
    </row>
    <row r="15" ht="17" spans="1:22">
      <c r="A15" s="68" t="s">
        <v>73</v>
      </c>
      <c r="B15" s="69"/>
      <c r="C15" s="58"/>
      <c r="D15" s="58"/>
      <c r="E15" s="135">
        <v>1</v>
      </c>
      <c r="F15" s="135">
        <v>1</v>
      </c>
      <c r="G15" s="135">
        <v>1</v>
      </c>
      <c r="H15" s="135">
        <v>1</v>
      </c>
      <c r="I15" s="135">
        <v>1</v>
      </c>
      <c r="J15" s="135">
        <v>1</v>
      </c>
      <c r="K15" s="135"/>
      <c r="L15" s="135"/>
    </row>
    <row r="16" ht="17" spans="1:22">
      <c r="A16" s="136" t="s">
        <v>74</v>
      </c>
      <c r="B16" s="136"/>
      <c r="C16" s="58"/>
      <c r="D16" s="58"/>
      <c r="E16" s="137">
        <v>105650</v>
      </c>
      <c r="F16" s="138">
        <v>778.57</v>
      </c>
      <c r="G16" s="137">
        <v>603.33</v>
      </c>
      <c r="H16" s="139">
        <v>110</v>
      </c>
      <c r="I16" s="140">
        <v>91.51</v>
      </c>
      <c r="J16" s="139">
        <v>33.04</v>
      </c>
      <c r="K16" s="140"/>
      <c r="L16" s="139"/>
    </row>
    <row r="17" spans="1:12">
      <c r="A17" s="141" t="s">
        <v>75</v>
      </c>
      <c r="B17" s="141"/>
      <c r="C17" s="58"/>
      <c r="D17" s="58"/>
      <c r="E17" s="142">
        <v>1</v>
      </c>
      <c r="F17" s="143">
        <v>1342</v>
      </c>
      <c r="G17" s="144">
        <v>1342</v>
      </c>
      <c r="H17" s="143">
        <v>1342</v>
      </c>
      <c r="I17" s="144">
        <v>1342</v>
      </c>
      <c r="J17" s="143">
        <v>1342</v>
      </c>
      <c r="K17" s="145"/>
      <c r="L17" s="146"/>
    </row>
    <row r="18" spans="1:12">
      <c r="A18" s="147" t="s">
        <v>76</v>
      </c>
      <c r="B18" s="147"/>
      <c r="C18" s="58"/>
      <c r="D18" s="58"/>
      <c r="E18" s="148">
        <f t="shared" ref="E18:J18" si="0">E16*E17</f>
        <v>105650</v>
      </c>
      <c r="F18" s="149">
        <f t="shared" si="0"/>
        <v>1044840.94</v>
      </c>
      <c r="G18" s="149">
        <f t="shared" si="0"/>
        <v>809668.86</v>
      </c>
      <c r="H18" s="149">
        <f t="shared" si="0"/>
        <v>147620</v>
      </c>
      <c r="I18" s="149">
        <f t="shared" si="0"/>
        <v>122806.42</v>
      </c>
      <c r="J18" s="149">
        <f t="shared" si="0"/>
        <v>44339.68</v>
      </c>
      <c r="K18" s="94">
        <f>K17*K16</f>
        <v>0</v>
      </c>
      <c r="L18" s="94">
        <f>L17*L16</f>
        <v>0</v>
      </c>
    </row>
    <row r="19" ht="7.5" customHeight="1" spans="1:12">
      <c r="A19" s="58"/>
      <c r="B19" s="58"/>
      <c r="C19" s="58"/>
      <c r="E19" s="150"/>
      <c r="F19" s="150"/>
      <c r="G19" s="150"/>
      <c r="H19" s="150"/>
      <c r="I19" s="150"/>
      <c r="J19" s="150"/>
      <c r="K19" s="151"/>
      <c r="L19" s="151"/>
    </row>
    <row r="20" ht="16.5" customHeight="1" spans="1:12">
      <c r="A20" s="152" t="s">
        <v>77</v>
      </c>
      <c r="B20" s="153"/>
      <c r="C20" s="154"/>
      <c r="E20" s="155">
        <f t="shared" ref="E20:L20" si="1">E14*E15*E18</f>
        <v>2499995950</v>
      </c>
      <c r="F20" s="155">
        <f t="shared" si="1"/>
        <v>2507618256</v>
      </c>
      <c r="G20" s="155">
        <f t="shared" si="1"/>
        <v>1449307259.4</v>
      </c>
      <c r="H20" s="155">
        <f t="shared" si="1"/>
        <v>1033487620</v>
      </c>
      <c r="I20" s="155">
        <f t="shared" si="1"/>
        <v>1001977580.78</v>
      </c>
      <c r="J20" s="155">
        <f t="shared" si="1"/>
        <v>1507593459.68</v>
      </c>
      <c r="K20" s="156">
        <f t="shared" si="1"/>
        <v>0</v>
      </c>
      <c r="L20" s="156">
        <f t="shared" si="1"/>
        <v>0</v>
      </c>
    </row>
    <row r="21" spans="1:12">
      <c r="A21" s="91" t="s">
        <v>78</v>
      </c>
      <c r="B21" s="92"/>
      <c r="D21" s="157">
        <f>SUM(E21:AP21)</f>
        <v>-9999980125.86</v>
      </c>
      <c r="E21" s="158">
        <f t="shared" ref="E21:J21" si="2">IF(E10="Long",-E20,IF(E10="Short",E20,0))</f>
        <v>-2499995950</v>
      </c>
      <c r="F21" s="158">
        <f t="shared" si="2"/>
        <v>-2507618256</v>
      </c>
      <c r="G21" s="158">
        <f t="shared" si="2"/>
        <v>-1449307259.4</v>
      </c>
      <c r="H21" s="158">
        <f t="shared" si="2"/>
        <v>-1033487620</v>
      </c>
      <c r="I21" s="158">
        <f t="shared" si="2"/>
        <v>-1001977580.78</v>
      </c>
      <c r="J21" s="158">
        <f t="shared" si="2"/>
        <v>-1507593459.68</v>
      </c>
      <c r="K21" s="159" t="str">
        <f>IF(K10="Long",-K20,IF(K10="Short",K20,"None"))</f>
        <v>None</v>
      </c>
      <c r="L21" s="159" t="str">
        <f>IF(L10="Long",-L20,IF(L10="Short",L20,"None"))</f>
        <v>None</v>
      </c>
    </row>
    <row r="22" ht="16.5" customHeight="1" spans="1:12">
      <c r="D22" s="95" t="s">
        <v>79</v>
      </c>
      <c r="F22" s="160"/>
    </row>
    <row r="23" spans="1:12">
      <c r="H23" s="161"/>
    </row>
    <row r="24" ht="16.5" customHeight="1" spans="1:12">
      <c r="D24" s="97">
        <f>A6+D21</f>
        <v>19874.140001297</v>
      </c>
      <c r="H24" s="161"/>
    </row>
    <row r="25" spans="1:12">
      <c r="D25" s="95" t="s">
        <v>80</v>
      </c>
      <c r="H25" s="161"/>
    </row>
    <row r="26" spans="1:12">
      <c r="H26" s="161"/>
    </row>
    <row r="27" spans="1:12">
      <c r="A27" s="99" t="str">
        <f>IF(D24&gt;0,"+"," ")</f>
        <v>+</v>
      </c>
      <c r="B27" s="104">
        <f>IF(D24&gt;0,0.035%,0.07%)</f>
        <v>0.00035</v>
      </c>
      <c r="D27" s="97">
        <f>D24*(1+B27)</f>
        <v>19881.0959502975</v>
      </c>
      <c r="H27" s="161"/>
    </row>
    <row r="28" spans="1:12">
      <c r="D28" s="106" t="s">
        <v>81</v>
      </c>
      <c r="H28" s="161"/>
    </row>
    <row r="31" spans="1:12">
      <c r="E31" s="162"/>
    </row>
    <row r="32" spans="1:12">
      <c r="E32" s="162"/>
    </row>
  </sheetData>
  <mergeCells count="21">
    <mergeCell ref="A6:B6"/>
    <mergeCell ref="A7:B7"/>
    <mergeCell ref="A9:D9"/>
    <mergeCell ref="A10:D10"/>
    <mergeCell ref="A11:B11"/>
    <mergeCell ref="A12:B12"/>
    <mergeCell ref="A13:B13"/>
    <mergeCell ref="A14:B14"/>
    <mergeCell ref="A15:B15"/>
    <mergeCell ref="A16:B16"/>
    <mergeCell ref="A17:B17"/>
    <mergeCell ref="A18:B18"/>
    <mergeCell ref="A20:B20"/>
    <mergeCell ref="A21:B21"/>
    <mergeCell ref="F3:F4"/>
    <mergeCell ref="H3:H4"/>
    <mergeCell ref="J1:J2"/>
    <mergeCell ref="J3:J4"/>
    <mergeCell ref="A1:B2"/>
    <mergeCell ref="K1:L2"/>
    <mergeCell ref="C1:I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M50"/>
  <sheetViews>
    <sheetView zoomScale="54" zoomScaleNormal="54" workbookViewId="0">
      <pane xSplit="2" ySplit="5" topLeftCell="C6" activePane="bottomRight" state="frozenSplit"/>
      <selection/>
      <selection pane="topRight"/>
      <selection pane="bottomLeft"/>
      <selection pane="bottomRight" activeCell="D5" sqref="D5"/>
    </sheetView>
  </sheetViews>
  <sheetFormatPr defaultColWidth="9" defaultRowHeight="16.8"/>
  <cols>
    <col min="1" max="2" width="20.625" style="1" customWidth="1"/>
    <col min="3" max="3" width="4.875" style="1" customWidth="1"/>
    <col min="4" max="12" width="20.625" style="1" customWidth="1"/>
    <col min="13" max="16384" width="9" style="1"/>
  </cols>
  <sheetData>
    <row r="1" ht="16.5" customHeight="1" spans="1:13">
      <c r="A1" s="29" t="str">
        <f>'Risk Mgmt'!A1</f>
        <v>DBA4014</v>
      </c>
      <c r="B1" s="30"/>
      <c r="C1" s="31" t="s">
        <v>82</v>
      </c>
      <c r="D1" s="31"/>
      <c r="E1" s="31"/>
      <c r="F1" s="31"/>
      <c r="G1" s="31"/>
      <c r="H1" s="31"/>
      <c r="I1" s="31"/>
      <c r="J1" s="32" t="s">
        <v>44</v>
      </c>
      <c r="K1" s="33" t="str">
        <f>TEXT(B4,"YYYY-MM-DD")</f>
        <v>2026-10-16</v>
      </c>
      <c r="L1" s="33"/>
    </row>
    <row r="2" ht="16.5" customHeight="1" spans="1:13">
      <c r="A2" s="34"/>
      <c r="B2" s="34"/>
      <c r="C2" s="31"/>
      <c r="D2" s="31"/>
      <c r="E2" s="31"/>
      <c r="F2" s="31"/>
      <c r="G2" s="31"/>
      <c r="H2" s="31"/>
      <c r="I2" s="31"/>
      <c r="J2" s="35"/>
      <c r="K2" s="33"/>
      <c r="L2" s="33"/>
    </row>
    <row r="3" spans="1:13">
      <c r="A3" s="4" t="s">
        <v>2</v>
      </c>
      <c r="B3" s="36" t="str">
        <f>'09-Oct'!B3:B3</f>
        <v>DBA4</v>
      </c>
      <c r="C3" s="37"/>
      <c r="D3" s="38" t="s">
        <v>28</v>
      </c>
      <c r="E3" s="38" t="s">
        <v>30</v>
      </c>
      <c r="F3" s="39" t="s">
        <v>33</v>
      </c>
      <c r="G3" s="40" t="str">
        <f>'Risk Mgmt'!B27</f>
        <v>Jacob</v>
      </c>
      <c r="H3" s="39" t="s">
        <v>35</v>
      </c>
      <c r="I3" s="40" t="str">
        <f>'Risk Mgmt'!B28</f>
        <v>장단비</v>
      </c>
      <c r="J3" s="39" t="s">
        <v>38</v>
      </c>
      <c r="K3" s="41" t="str">
        <f>'Risk Mgmt'!B29</f>
        <v>채영찬</v>
      </c>
    </row>
    <row r="4" spans="1:13">
      <c r="A4" s="1" t="s">
        <v>45</v>
      </c>
      <c r="B4" s="42">
        <f>'09-Oct'!B4+7</f>
        <v>46311</v>
      </c>
      <c r="C4" s="43" t="str">
        <f>IF(WEEKDAY(B4)=1,"SUN",IF(WEEKDAY(B4)=2,"MON",IF(WEEKDAY(B4)=3,"TUE",IF(WEEKDAY(B4)=4,"WED",IF(WEEKDAY(B4)=5,"THU",IF(WEEKDAY(B4)=6,"FRI",IF(WEEKDAY(B4)=7,"SAT","-")))))))</f>
        <v>FRI</v>
      </c>
      <c r="D4" s="40" t="str">
        <f>'Risk Mgmt'!B25</f>
        <v>김경수</v>
      </c>
      <c r="E4" s="40" t="str">
        <f>'Risk Mgmt'!B26</f>
        <v>박준형</v>
      </c>
      <c r="F4" s="44"/>
      <c r="G4" s="40">
        <f>'Risk Mgmt'!C27</f>
        <v>0</v>
      </c>
      <c r="H4" s="44"/>
      <c r="I4" s="40" t="str">
        <f>'Risk Mgmt'!C28</f>
        <v>홍예나</v>
      </c>
      <c r="J4" s="44"/>
      <c r="K4" s="41">
        <f>'Risk Mgmt'!C29</f>
        <v>0</v>
      </c>
    </row>
    <row r="5" spans="1:13">
      <c r="A5" s="45" t="s">
        <v>46</v>
      </c>
      <c r="B5" s="46">
        <f>B4+3</f>
        <v>46314</v>
      </c>
      <c r="C5" s="47" t="str">
        <f>IF(WEEKDAY(B5)=1,"SUN",IF(WEEKDAY(B5)=2,"MON",IF(WEEKDAY(B5)=3,"TUE",IF(WEEKDAY(B5)=4,"WED",IF(WEEKDAY(B5)=5,"THU",IF(WEEKDAY(B5)=6,"FRI",IF(WEEKDAY(B5)=7,"SAT","-")))))))</f>
        <v>MON</v>
      </c>
      <c r="D5" s="48"/>
      <c r="E5" s="48"/>
      <c r="F5" s="48"/>
      <c r="G5" s="48"/>
      <c r="H5" s="48"/>
      <c r="I5" s="48"/>
      <c r="J5" s="48"/>
      <c r="K5" s="48"/>
      <c r="L5" s="48"/>
      <c r="M5" s="48"/>
    </row>
    <row r="6" ht="16.5" customHeight="1" spans="1:13">
      <c r="B6" s="49">
        <f>'09-Oct'!D27</f>
        <v>19881.0959502975</v>
      </c>
      <c r="C6" s="48"/>
      <c r="D6" s="50" t="s">
        <v>47</v>
      </c>
      <c r="E6" s="51" t="s">
        <v>6</v>
      </c>
      <c r="F6" s="51" t="s">
        <v>9</v>
      </c>
      <c r="G6" s="51" t="s">
        <v>48</v>
      </c>
      <c r="H6" s="51" t="s">
        <v>49</v>
      </c>
      <c r="I6" s="52" t="s">
        <v>50</v>
      </c>
      <c r="J6" s="52" t="s">
        <v>51</v>
      </c>
      <c r="K6" s="52" t="s">
        <v>52</v>
      </c>
    </row>
    <row r="7" spans="1:13">
      <c r="A7" s="53" t="s">
        <v>53</v>
      </c>
      <c r="B7" s="53"/>
      <c r="C7" s="48"/>
      <c r="D7" s="54"/>
      <c r="E7" s="55">
        <f>'09-Oct'!E7</f>
        <v>0.1</v>
      </c>
      <c r="F7" s="55">
        <f>'09-Oct'!F7</f>
        <v>0.15</v>
      </c>
      <c r="G7" s="55">
        <f>'09-Oct'!G7</f>
        <v>0.4</v>
      </c>
      <c r="H7" s="55">
        <f>'09-Oct'!H7</f>
        <v>0.8</v>
      </c>
      <c r="I7" s="56">
        <f>'09-Oct'!I7</f>
        <v>0.1</v>
      </c>
      <c r="J7" s="56">
        <f>'09-Oct'!J7</f>
        <v>0.1</v>
      </c>
      <c r="K7" s="56">
        <f>'09-Oct'!K7</f>
        <v>0.1</v>
      </c>
    </row>
    <row r="8" spans="1:13">
      <c r="A8" s="57"/>
      <c r="B8" s="57"/>
      <c r="C8" s="48"/>
      <c r="D8" s="58"/>
      <c r="E8" s="117"/>
      <c r="F8" s="117"/>
      <c r="G8" s="58"/>
      <c r="H8" s="117"/>
      <c r="I8" s="58"/>
      <c r="J8" s="58"/>
      <c r="K8" s="58"/>
      <c r="L8" s="58"/>
    </row>
    <row r="9" ht="20.4" spans="1:13">
      <c r="A9" s="59" t="s">
        <v>83</v>
      </c>
      <c r="B9" s="59"/>
      <c r="C9" s="59"/>
      <c r="D9" s="59"/>
      <c r="E9" s="60">
        <v>1</v>
      </c>
      <c r="F9" s="60">
        <v>2</v>
      </c>
      <c r="G9" s="60">
        <v>3</v>
      </c>
      <c r="H9" s="60">
        <v>4</v>
      </c>
      <c r="I9" s="60">
        <v>5</v>
      </c>
      <c r="J9" s="60">
        <v>6</v>
      </c>
      <c r="K9" s="60">
        <v>7</v>
      </c>
      <c r="L9" s="60">
        <v>8</v>
      </c>
    </row>
    <row r="10" ht="17.6" spans="1:13">
      <c r="A10" s="61" t="s">
        <v>55</v>
      </c>
      <c r="B10" s="61"/>
      <c r="C10" s="61"/>
      <c r="D10" s="62"/>
      <c r="E10" s="63" t="str">
        <f>'09-Oct'!E10</f>
        <v>Long</v>
      </c>
      <c r="F10" s="63" t="str">
        <f>'09-Oct'!F10</f>
        <v>Long</v>
      </c>
      <c r="G10" s="63" t="str">
        <f>'09-Oct'!G10</f>
        <v>Long</v>
      </c>
      <c r="H10" s="63" t="str">
        <f>'09-Oct'!H10</f>
        <v>Long</v>
      </c>
      <c r="I10" s="63" t="str">
        <f>'09-Oct'!I10</f>
        <v>Long</v>
      </c>
      <c r="J10" s="63" t="str">
        <f>'09-Oct'!J10</f>
        <v>Long</v>
      </c>
      <c r="K10" s="63">
        <f>'09-Oct'!K10</f>
        <v>0</v>
      </c>
      <c r="L10" s="63">
        <f>'09-Oct'!L10</f>
        <v>0</v>
      </c>
    </row>
    <row r="11" spans="1:13">
      <c r="A11" s="64" t="s">
        <v>57</v>
      </c>
      <c r="B11" s="64"/>
      <c r="C11" s="48"/>
      <c r="D11" s="58"/>
      <c r="E11" s="63" t="str">
        <f>'09-Oct'!E11</f>
        <v>KODEX 200</v>
      </c>
      <c r="F11" s="63" t="str">
        <f>'09-Oct'!F11</f>
        <v>SPDR S&amp;P 500 ETF Trust</v>
      </c>
      <c r="G11" s="63" t="str">
        <f>'09-Oct'!G11</f>
        <v>VanEck Semiconductor ETF</v>
      </c>
      <c r="H11" s="63" t="str">
        <f>'09-Oct'!H11</f>
        <v>First Trust Nasdaq Cybersecurity ETF</v>
      </c>
      <c r="I11" s="63" t="str">
        <f>'09-Oct'!I11</f>
        <v>SPDR Bloomberg 1-3 Month T-Bill ETF</v>
      </c>
      <c r="J11" s="63" t="str">
        <f>'09-Oct'!J11</f>
        <v>Schwab U.S. Dividend Equity ETF</v>
      </c>
      <c r="K11" s="63">
        <f>'09-Oct'!K11</f>
        <v>0</v>
      </c>
      <c r="L11" s="63">
        <f>'09-Oct'!L11</f>
        <v>0</v>
      </c>
    </row>
    <row r="12" spans="1:13">
      <c r="A12" s="64" t="s">
        <v>64</v>
      </c>
      <c r="B12" s="64"/>
      <c r="C12" s="48"/>
      <c r="D12" s="58"/>
      <c r="E12" s="63" t="str">
        <f>'09-Oct'!E12</f>
        <v>A069500</v>
      </c>
      <c r="F12" s="63" t="str">
        <f>'09-Oct'!F12</f>
        <v>SPY</v>
      </c>
      <c r="G12" s="63" t="str">
        <f>'09-Oct'!G12</f>
        <v>SMH</v>
      </c>
      <c r="H12" s="63" t="str">
        <f>'09-Oct'!H12</f>
        <v>CIBR</v>
      </c>
      <c r="I12" s="63" t="str">
        <f>'09-Oct'!I12</f>
        <v>BIL</v>
      </c>
      <c r="J12" s="63" t="str">
        <f>'09-Oct'!J12</f>
        <v>SCHD</v>
      </c>
      <c r="K12" s="63">
        <f>'09-Oct'!K12</f>
        <v>0</v>
      </c>
      <c r="L12" s="63">
        <f>'09-Oct'!L12</f>
        <v>0</v>
      </c>
    </row>
    <row r="13" spans="1:13">
      <c r="A13" s="65" t="s">
        <v>71</v>
      </c>
      <c r="B13" s="66"/>
      <c r="C13" s="48"/>
      <c r="D13" s="58"/>
      <c r="E13" s="63" t="str">
        <f>'09-Oct'!E13</f>
        <v>ETF</v>
      </c>
      <c r="F13" s="63" t="str">
        <f>'09-Oct'!F13</f>
        <v>ETF</v>
      </c>
      <c r="G13" s="63" t="str">
        <f>'09-Oct'!G13</f>
        <v>ETF</v>
      </c>
      <c r="H13" s="63" t="str">
        <f>'09-Oct'!H13</f>
        <v>ETF</v>
      </c>
      <c r="I13" s="63" t="str">
        <f>'09-Oct'!I13</f>
        <v>ETF</v>
      </c>
      <c r="J13" s="63" t="str">
        <f>'09-Oct'!J13</f>
        <v>ETF</v>
      </c>
      <c r="K13" s="63">
        <f>'09-Oct'!K13</f>
        <v>0</v>
      </c>
      <c r="L13" s="63">
        <f>'09-Oct'!L13</f>
        <v>0</v>
      </c>
    </row>
    <row r="14" ht="17" spans="1:13">
      <c r="A14" s="64" t="s">
        <v>72</v>
      </c>
      <c r="B14" s="64"/>
      <c r="C14" s="48"/>
      <c r="D14" s="58"/>
      <c r="E14" s="67">
        <f>'09-Oct'!E14</f>
        <v>23663</v>
      </c>
      <c r="F14" s="67">
        <f>'09-Oct'!F14</f>
        <v>2400</v>
      </c>
      <c r="G14" s="67">
        <f>'09-Oct'!G14</f>
        <v>1790</v>
      </c>
      <c r="H14" s="67">
        <f>'09-Oct'!H14</f>
        <v>7001</v>
      </c>
      <c r="I14" s="67">
        <f>'09-Oct'!I14</f>
        <v>8159</v>
      </c>
      <c r="J14" s="67">
        <f>'09-Oct'!J14</f>
        <v>34001</v>
      </c>
      <c r="K14" s="67">
        <f>'09-Oct'!K14</f>
        <v>0</v>
      </c>
      <c r="L14" s="67">
        <f>'09-Oct'!L14</f>
        <v>0</v>
      </c>
    </row>
    <row r="15" ht="17" spans="1:13">
      <c r="A15" s="68" t="s">
        <v>73</v>
      </c>
      <c r="B15" s="69"/>
      <c r="C15" s="48"/>
      <c r="D15" s="58"/>
      <c r="E15" s="63">
        <f>'09-Oct'!E15</f>
        <v>1</v>
      </c>
      <c r="F15" s="63">
        <f>'09-Oct'!F15</f>
        <v>1</v>
      </c>
      <c r="G15" s="63">
        <f>'09-Oct'!G15</f>
        <v>1</v>
      </c>
      <c r="H15" s="63">
        <f>'09-Oct'!H15</f>
        <v>1</v>
      </c>
      <c r="I15" s="63">
        <f>'09-Oct'!I15</f>
        <v>1</v>
      </c>
      <c r="J15" s="63">
        <f>'09-Oct'!J15</f>
        <v>1</v>
      </c>
      <c r="K15" s="63">
        <f>'09-Oct'!K15</f>
        <v>0</v>
      </c>
      <c r="L15" s="63">
        <f>'09-Oct'!L15</f>
        <v>0</v>
      </c>
    </row>
    <row r="16" spans="1:13">
      <c r="A16" s="2"/>
      <c r="B16" s="2"/>
      <c r="C16" s="48"/>
      <c r="D16" s="103"/>
      <c r="E16" s="71"/>
      <c r="F16" s="71"/>
      <c r="G16" s="71"/>
      <c r="H16" s="72"/>
      <c r="I16" s="71"/>
      <c r="J16" s="71"/>
      <c r="K16" s="71"/>
      <c r="L16" s="72"/>
    </row>
    <row r="17" spans="1:12">
      <c r="A17" s="116"/>
      <c r="B17" s="116"/>
      <c r="C17" s="48"/>
      <c r="D17" s="58"/>
      <c r="E17" s="73"/>
      <c r="F17" s="73"/>
      <c r="G17" s="74"/>
      <c r="H17" s="73"/>
      <c r="I17" s="73"/>
      <c r="J17" s="73"/>
      <c r="K17" s="74"/>
      <c r="L17" s="73"/>
    </row>
    <row r="18" ht="20.4" spans="1:12">
      <c r="A18" s="59" t="s">
        <v>84</v>
      </c>
      <c r="B18" s="59"/>
      <c r="C18" s="59"/>
      <c r="D18" s="59"/>
      <c r="E18" s="76">
        <v>1</v>
      </c>
      <c r="F18" s="60">
        <v>2</v>
      </c>
      <c r="G18" s="60">
        <v>3</v>
      </c>
      <c r="H18" s="60">
        <v>4</v>
      </c>
      <c r="I18" s="60">
        <v>5</v>
      </c>
      <c r="J18" s="60">
        <v>6</v>
      </c>
      <c r="K18" s="60">
        <v>7</v>
      </c>
      <c r="L18" s="60">
        <v>8</v>
      </c>
    </row>
    <row r="19" ht="17.6" spans="1:12">
      <c r="A19" s="77" t="s">
        <v>85</v>
      </c>
      <c r="B19" s="77"/>
      <c r="C19" s="77"/>
      <c r="D19" s="78"/>
      <c r="E19" s="41" t="inlineStr">
        <is>
          <t>Sell</t>
        </is>
      </c>
      <c r="F19" s="23" t="inlineStr">
        <is>
          <t>Sell</t>
        </is>
      </c>
      <c r="G19" s="40" t="inlineStr">
        <is>
          <t>Sell</t>
        </is>
      </c>
      <c r="H19" s="40" t="inlineStr">
        <is>
          <t>Buy</t>
        </is>
      </c>
      <c r="I19" s="40" t="inlineStr">
        <is>
          <t>Buy</t>
        </is>
      </c>
      <c r="J19" s="23" t="inlineStr">
        <is>
          <t>Buy</t>
        </is>
      </c>
      <c r="K19" s="40" t="inlineStr">
        <is>
          <t>Sell</t>
        </is>
      </c>
      <c r="L19" s="23" t="inlineStr">
        <is>
          <t>Sell</t>
        </is>
      </c>
    </row>
    <row r="20" spans="1:12">
      <c r="A20" s="64" t="s">
        <v>57</v>
      </c>
      <c r="B20" s="64"/>
      <c r="C20" s="58"/>
      <c r="D20" s="58"/>
      <c r="E20" s="118" t="inlineStr">
        <is>
          <t>KODEX 200</t>
        </is>
      </c>
      <c r="F20" s="80" t="inlineStr">
        <is>
          <t>VanEck Semiconductor ETF</t>
        </is>
      </c>
      <c r="G20" s="79" t="inlineStr">
        <is>
          <t>First Trust Nasdaq Cybersecurity ETF</t>
        </is>
      </c>
      <c r="H20" s="79" t="inlineStr">
        <is>
          <t>State Street Health Care Select Sector SPDR ETF</t>
        </is>
      </c>
      <c r="I20" s="79" t="inlineStr">
        <is>
          <t>State Street Consumer Staples Select Sector SPDR ETF</t>
        </is>
      </c>
      <c r="J20" s="80" t="inlineStr">
        <is>
          <t>State Street Energy Select Sector SPDR ETF</t>
        </is>
      </c>
      <c r="K20" s="79" t="inlineStr">
        <is>
          <t>VanEck Semiconductor ETF</t>
        </is>
      </c>
      <c r="L20" s="80" t="inlineStr">
        <is>
          <t>First Trust Nasdaq Cybersecurity ETF</t>
        </is>
      </c>
    </row>
    <row r="21" spans="1:12">
      <c r="A21" s="64" t="s">
        <v>64</v>
      </c>
      <c r="B21" s="64"/>
      <c r="C21" s="58"/>
      <c r="D21" s="58"/>
      <c r="E21" s="41" t="inlineStr">
        <is>
          <t>A069500</t>
        </is>
      </c>
      <c r="F21" s="23" t="inlineStr">
        <is>
          <t>SMH</t>
        </is>
      </c>
      <c r="G21" s="40" t="inlineStr">
        <is>
          <t>CIBR</t>
        </is>
      </c>
      <c r="H21" s="40" t="inlineStr">
        <is>
          <t>XLV</t>
        </is>
      </c>
      <c r="I21" s="40" t="inlineStr">
        <is>
          <t>XLP</t>
        </is>
      </c>
      <c r="J21" s="23" t="inlineStr">
        <is>
          <t>XLE</t>
        </is>
      </c>
      <c r="K21" s="40" t="inlineStr">
        <is>
          <t>SMH</t>
        </is>
      </c>
      <c r="L21" s="23" t="inlineStr">
        <is>
          <t>CIBR</t>
        </is>
      </c>
    </row>
    <row r="22" spans="1:12">
      <c r="A22" s="65" t="s">
        <v>71</v>
      </c>
      <c r="B22" s="66"/>
      <c r="C22" s="58"/>
      <c r="D22" s="58"/>
      <c r="E22" s="41" t="inlineStr">
        <is>
          <t>ETF</t>
        </is>
      </c>
      <c r="F22" s="81" t="inlineStr">
        <is>
          <t>ETF</t>
        </is>
      </c>
      <c r="G22" s="41" t="inlineStr">
        <is>
          <t>ETF</t>
        </is>
      </c>
      <c r="H22" s="41" t="inlineStr">
        <is>
          <t>ETF</t>
        </is>
      </c>
      <c r="I22" s="41" t="inlineStr">
        <is>
          <t>ETF</t>
        </is>
      </c>
      <c r="J22" s="81" t="inlineStr">
        <is>
          <t>ETF</t>
        </is>
      </c>
      <c r="K22" s="41" t="inlineStr">
        <is>
          <t>ETF</t>
        </is>
      </c>
      <c r="L22" s="81" t="inlineStr">
        <is>
          <t>ETF</t>
        </is>
      </c>
    </row>
    <row r="23" ht="17" spans="1:12">
      <c r="A23" s="64" t="s">
        <v>72</v>
      </c>
      <c r="B23" s="64"/>
      <c r="C23" s="58"/>
      <c r="D23" s="58"/>
      <c r="E23" s="119">
        <v>23663</v>
      </c>
      <c r="F23" s="83">
        <v>1151</v>
      </c>
      <c r="G23" s="82">
        <v>3549</v>
      </c>
      <c r="H23" s="82">
        <v>2420</v>
      </c>
      <c r="I23" s="82">
        <v>3298</v>
      </c>
      <c r="J23" s="83">
        <v>3221</v>
      </c>
      <c r="K23" s="82">
        <v>639</v>
      </c>
      <c r="L23" s="83">
        <v>3452</v>
      </c>
    </row>
    <row r="24" ht="17" spans="1:12">
      <c r="A24" s="68" t="s">
        <v>73</v>
      </c>
      <c r="B24" s="69"/>
      <c r="C24" s="58"/>
      <c r="D24" s="58"/>
      <c r="E24" s="120">
        <v>1</v>
      </c>
      <c r="F24" s="121">
        <v>1</v>
      </c>
      <c r="G24" s="84">
        <v>1</v>
      </c>
      <c r="H24" s="84">
        <v>1</v>
      </c>
      <c r="I24" s="84">
        <v>1</v>
      </c>
      <c r="J24" s="84">
        <v>1</v>
      </c>
      <c r="K24" s="84">
        <v>1</v>
      </c>
      <c r="L24" s="84">
        <v>1</v>
      </c>
    </row>
    <row r="25" spans="1:12">
      <c r="A25" s="81" t="str">
        <f>"New Price ("&amp;TEXT($B$4,"yyyy-mm-dd")&amp;")"</f>
        <v>New Price (2026-10-16)</v>
      </c>
      <c r="B25" s="85"/>
      <c r="C25" s="58"/>
      <c r="D25" s="58"/>
      <c r="E25" s="86">
        <v>94805</v>
      </c>
      <c r="F25" s="87">
        <v>539.79</v>
      </c>
      <c r="G25" s="86">
        <v>98.82</v>
      </c>
      <c r="H25" s="86">
        <v>176.71</v>
      </c>
      <c r="I25" s="86">
        <v>87.62</v>
      </c>
      <c r="J25" s="87">
        <v>68.24</v>
      </c>
      <c r="K25" s="86">
        <v>539.79</v>
      </c>
      <c r="L25" s="87">
        <v>98.82</v>
      </c>
    </row>
    <row r="26" spans="1:12">
      <c r="A26" s="81" t="str">
        <f>"New FX (exchange rate) ("&amp;TEXT($B$4,"yyyy-mm-dd")&amp;")"</f>
        <v>New FX (exchange rate) (2026-10-16)</v>
      </c>
      <c r="B26" s="85"/>
      <c r="C26" s="58"/>
      <c r="D26" s="58"/>
      <c r="E26" s="88">
        <v>1</v>
      </c>
      <c r="F26" s="89">
        <v>1336.8</v>
      </c>
      <c r="G26" s="88">
        <v>1336.8</v>
      </c>
      <c r="H26" s="88">
        <v>1336.8</v>
      </c>
      <c r="I26" s="88">
        <v>1336.8</v>
      </c>
      <c r="J26" s="89">
        <v>1336.8</v>
      </c>
      <c r="K26" s="88">
        <v>1336.8</v>
      </c>
      <c r="L26" s="89">
        <v>1336.8</v>
      </c>
    </row>
    <row r="27" spans="1:12">
      <c r="A27" s="23" t="str">
        <f>"New Converted Price ("&amp;TEXT($B$4,"yyyy-mm-dd")&amp;")"</f>
        <v>New Converted Price (2026-10-16)</v>
      </c>
      <c r="B27" s="23"/>
      <c r="C27" s="58"/>
      <c r="D27" s="58"/>
      <c r="E27" s="90">
        <f>E26*E25</f>
        <v>94805.0</v>
      </c>
      <c r="F27" s="90">
        <f>F26*F25</f>
        <v>721591.2719999999</v>
      </c>
      <c r="G27" s="90">
        <f t="shared" ref="G27:H27" si="0">G26*G25</f>
        <v>132102.576</v>
      </c>
      <c r="H27" s="90">
        <f t="shared" si="0"/>
        <v>236225.928</v>
      </c>
      <c r="I27" s="90">
        <f t="shared" ref="I27" si="1">I26*I25</f>
        <v>117130.416</v>
      </c>
      <c r="J27" s="90">
        <f t="shared" ref="J27" si="2">J26*J25</f>
        <v>91223.23199999999</v>
      </c>
      <c r="K27" s="90">
        <f t="shared" ref="K27" si="3">K26*K25</f>
        <v>721591.2719999999</v>
      </c>
      <c r="L27" s="90">
        <f t="shared" ref="L27" si="4">L26*L25</f>
        <v>132102.576</v>
      </c>
    </row>
    <row r="28" ht="16.5" customHeight="1" spans="1:12">
      <c r="A28" s="91" t="s">
        <v>78</v>
      </c>
      <c r="B28" s="92"/>
      <c r="C28" s="58"/>
      <c r="D28" s="93">
        <f>SUM(E28:AP28)</f>
        <v>3208076338.456</v>
      </c>
      <c r="E28" s="94">
        <f>IF(E19="Buy",-E23*E24*E27,IF(E19="Sell",+E23*E24*E27,"None"))</f>
        <v>2243370715.0</v>
      </c>
      <c r="F28" s="94">
        <f t="shared" ref="F28:G28" si="5">IF(F19="Buy",-F23*F24*F27,IF(F19="Sell",+F23*F24*F27,"None"))</f>
        <v>830551554.0719999</v>
      </c>
      <c r="G28" s="94">
        <f t="shared" si="5"/>
        <v>468832042.224</v>
      </c>
      <c r="H28" s="94">
        <f t="shared" ref="H28:I28" si="6">IF(H19="Buy",-H23*H24*H27,IF(H19="Sell",+H23*H24*H27,"None"))</f>
        <v>-571666745.76</v>
      </c>
      <c r="I28" s="94">
        <f t="shared" si="6"/>
        <v>-386296111.968</v>
      </c>
      <c r="J28" s="94">
        <f t="shared" ref="J28" si="7">IF(J19="Buy",-J23*J24*J27,IF(J19="Sell",+J23*J24*J27,"None"))</f>
        <v>-293830030.27199996</v>
      </c>
      <c r="K28" s="94">
        <f t="shared" ref="K28" si="8">IF(K19="Buy",-K23*K24*K27,IF(K19="Sell",+K23*K24*K27,"None"))</f>
        <v>461096822.8079999</v>
      </c>
      <c r="L28" s="94">
        <f>IF(L19="Buy",-L23*L27,IF(L19="Sell",+L23*L27,"None"))</f>
        <v>456018092.352</v>
      </c>
    </row>
    <row r="29" spans="1:12">
      <c r="A29" s="2"/>
      <c r="B29" s="2"/>
      <c r="D29" s="95" t="s">
        <v>79</v>
      </c>
      <c r="E29" s="96"/>
      <c r="F29" s="96"/>
      <c r="H29" s="122"/>
      <c r="I29" s="122"/>
      <c r="J29" s="122"/>
      <c r="K29" s="96"/>
      <c r="L29" s="96"/>
    </row>
    <row r="30" spans="1:12">
      <c r="A30" s="2"/>
      <c r="B30" s="2"/>
      <c r="E30" s="96"/>
      <c r="F30" s="96"/>
      <c r="H30" s="96"/>
      <c r="I30" s="96"/>
      <c r="J30" s="96"/>
      <c r="K30" s="96"/>
      <c r="L30" s="96"/>
    </row>
    <row r="31" ht="16.5" customHeight="1" spans="1:12">
      <c r="D31" s="97">
        <f>B6+D28</f>
        <v>3208096219.55195</v>
      </c>
      <c r="I31" s="123"/>
      <c r="J31" s="123"/>
    </row>
    <row r="32" spans="1:12">
      <c r="D32" s="95" t="s">
        <v>80</v>
      </c>
      <c r="I32" s="123"/>
      <c r="J32" s="123"/>
    </row>
    <row r="33" spans="1:12">
      <c r="I33" s="123"/>
      <c r="J33" s="123"/>
    </row>
    <row r="34" spans="1:12">
      <c r="A34" s="99" t="str">
        <f>IF(D31&gt;0,"+"," ")</f>
        <v>+</v>
      </c>
      <c r="B34" s="104">
        <f>IF(D31&gt;0,0.035%,0.07%)</f>
        <v>0.00035</v>
      </c>
      <c r="D34" s="105">
        <f>D31*(1+B34)</f>
        <v>3209219053.2287936</v>
      </c>
      <c r="I34" s="123"/>
      <c r="J34" s="123"/>
    </row>
    <row r="35" spans="1:12">
      <c r="D35" s="106" t="s">
        <v>81</v>
      </c>
      <c r="E35" s="71"/>
      <c r="F35" s="71"/>
      <c r="G35" s="71"/>
      <c r="H35" s="72"/>
      <c r="I35" s="123"/>
      <c r="J35" s="123"/>
    </row>
    <row r="36" spans="1:12">
      <c r="E36" s="73"/>
      <c r="F36" s="73"/>
      <c r="G36" s="74"/>
      <c r="H36" s="73"/>
    </row>
    <row r="37" ht="20.4" spans="1:12">
      <c r="A37" s="59" t="s">
        <v>86</v>
      </c>
      <c r="B37" s="59"/>
      <c r="C37" s="59"/>
      <c r="D37" s="59"/>
      <c r="E37" s="60">
        <v>1</v>
      </c>
      <c r="F37" s="60"/>
      <c r="G37" s="60">
        <v>3</v>
      </c>
      <c r="H37" s="60">
        <v>4</v>
      </c>
      <c r="I37" s="60">
        <v>5</v>
      </c>
      <c r="J37" s="60">
        <v>6</v>
      </c>
      <c r="K37" s="60">
        <v>7</v>
      </c>
      <c r="L37" s="60">
        <v>8</v>
      </c>
    </row>
    <row r="38" ht="17.6" spans="1:12">
      <c r="A38" s="61" t="s">
        <v>55</v>
      </c>
      <c r="B38" s="61"/>
      <c r="C38" s="61"/>
      <c r="D38" s="62"/>
      <c r="E38" s="40" t="inlineStr">
        <is>
          <t>Long</t>
        </is>
      </c>
      <c r="F38" s="23" t="inlineStr">
        <is>
          <t>Long</t>
        </is>
      </c>
      <c r="G38" s="40" t="inlineStr">
        <is>
          <t>Long</t>
        </is>
      </c>
      <c r="H38" s="40" t="inlineStr">
        <is>
          <t>Long</t>
        </is>
      </c>
      <c r="I38" s="40" t="inlineStr">
        <is>
          <t>Long</t>
        </is>
      </c>
      <c r="J38" s="23" t="inlineStr">
        <is>
          <t>Long</t>
        </is>
      </c>
      <c r="K38" s="40"/>
      <c r="L38" s="23"/>
    </row>
    <row r="39" spans="1:12">
      <c r="A39" s="64" t="s">
        <v>57</v>
      </c>
      <c r="B39" s="64"/>
      <c r="C39" s="48"/>
      <c r="D39" s="58"/>
      <c r="E39" s="79" t="inlineStr">
        <is>
          <t>SPDR S&amp;P 500 ETF Trust</t>
        </is>
      </c>
      <c r="F39" s="80" t="inlineStr">
        <is>
          <t>SPDR Bloomberg 1-3 Month T-Bill ETF</t>
        </is>
      </c>
      <c r="G39" s="79" t="inlineStr">
        <is>
          <t>Schwab U.S. Dividend Equity ETF</t>
        </is>
      </c>
      <c r="H39" s="79" t="inlineStr">
        <is>
          <t>State Street Health Care Select Sector SPDR ETF</t>
        </is>
      </c>
      <c r="I39" s="79" t="inlineStr">
        <is>
          <t>State Street Consumer Staples Select Sector SPDR ETF</t>
        </is>
      </c>
      <c r="J39" s="80" t="inlineStr">
        <is>
          <t>State Street Energy Select Sector SPDR ETF</t>
        </is>
      </c>
      <c r="K39" s="79"/>
      <c r="L39" s="80"/>
    </row>
    <row r="40" spans="1:12">
      <c r="A40" s="64" t="s">
        <v>64</v>
      </c>
      <c r="B40" s="64"/>
      <c r="C40" s="48"/>
      <c r="D40" s="58"/>
      <c r="E40" s="40" t="inlineStr">
        <is>
          <t>SPY</t>
        </is>
      </c>
      <c r="F40" s="23" t="inlineStr">
        <is>
          <t>BIL</t>
        </is>
      </c>
      <c r="G40" s="40" t="inlineStr">
        <is>
          <t>SCHD</t>
        </is>
      </c>
      <c r="H40" s="40" t="inlineStr">
        <is>
          <t>XLV</t>
        </is>
      </c>
      <c r="I40" s="40" t="inlineStr">
        <is>
          <t>XLP</t>
        </is>
      </c>
      <c r="J40" s="23" t="inlineStr">
        <is>
          <t>XLE</t>
        </is>
      </c>
      <c r="K40" s="40"/>
      <c r="L40" s="23"/>
    </row>
    <row r="41" spans="1:12">
      <c r="A41" s="65" t="s">
        <v>71</v>
      </c>
      <c r="B41" s="66"/>
      <c r="C41" s="48"/>
      <c r="D41" s="58"/>
      <c r="E41" s="40" t="inlineStr">
        <is>
          <t>ETF</t>
        </is>
      </c>
      <c r="F41" s="23" t="inlineStr">
        <is>
          <t>ETF</t>
        </is>
      </c>
      <c r="G41" s="40" t="inlineStr">
        <is>
          <t>ETF</t>
        </is>
      </c>
      <c r="H41" s="40" t="inlineStr">
        <is>
          <t>ETF</t>
        </is>
      </c>
      <c r="I41" s="41" t="inlineStr">
        <is>
          <t>ETF</t>
        </is>
      </c>
      <c r="J41" s="81" t="inlineStr">
        <is>
          <t>ETF</t>
        </is>
      </c>
      <c r="K41" s="41"/>
      <c r="L41" s="81"/>
    </row>
    <row r="42" ht="17" spans="1:12">
      <c r="A42" s="64" t="s">
        <v>72</v>
      </c>
      <c r="B42" s="64"/>
      <c r="C42" s="48"/>
      <c r="D42" s="58"/>
      <c r="E42" s="82">
        <v>2400</v>
      </c>
      <c r="F42" s="83">
        <v>8159</v>
      </c>
      <c r="G42" s="82">
        <v>34001</v>
      </c>
      <c r="H42" s="82">
        <v>2420</v>
      </c>
      <c r="I42" s="82">
        <v>3298</v>
      </c>
      <c r="J42" s="83">
        <v>3221</v>
      </c>
      <c r="K42" s="82"/>
      <c r="L42" s="83"/>
    </row>
    <row r="43" ht="17" spans="1:12">
      <c r="A43" s="68" t="s">
        <v>73</v>
      </c>
      <c r="B43" s="69"/>
      <c r="C43" s="48"/>
      <c r="D43" s="58"/>
      <c r="E43" s="124">
        <v>1</v>
      </c>
      <c r="F43" s="124">
        <v>1</v>
      </c>
      <c r="G43" s="124">
        <v>1</v>
      </c>
      <c r="H43" s="124">
        <v>1</v>
      </c>
      <c r="I43" s="124">
        <v>1</v>
      </c>
      <c r="J43" s="124">
        <v>1</v>
      </c>
      <c r="K43" s="124"/>
      <c r="L43" s="124"/>
    </row>
    <row r="44" spans="1:12">
      <c r="A44" s="108" t="str">
        <f>"New Price ("&amp;TEXT($B$4,"yyyy-mm-dd")&amp;")"</f>
        <v>New Price (2026-10-16)</v>
      </c>
      <c r="B44" s="109"/>
      <c r="E44" s="86">
        <v>763.25</v>
      </c>
      <c r="F44" s="87">
        <v>91.57</v>
      </c>
      <c r="G44" s="86">
        <v>34.35</v>
      </c>
      <c r="H44" s="86">
        <v>176.71</v>
      </c>
      <c r="I44" s="86">
        <v>87.62</v>
      </c>
      <c r="J44" s="87">
        <v>68.24</v>
      </c>
      <c r="K44" s="86"/>
      <c r="L44" s="87"/>
    </row>
    <row r="45" spans="1:12">
      <c r="A45" s="81" t="str">
        <f>"New FX (exchange rate) ("&amp;TEXT($B$4,"yyyy-mm-dd")&amp;")"</f>
        <v>New FX (exchange rate) (2026-10-16)</v>
      </c>
      <c r="B45" s="85"/>
      <c r="E45" s="88">
        <v>1336.8</v>
      </c>
      <c r="F45" s="89">
        <v>1336.8</v>
      </c>
      <c r="G45" s="88">
        <v>1336.8</v>
      </c>
      <c r="H45" s="88">
        <v>1336.8</v>
      </c>
      <c r="I45" s="88">
        <v>1336.8</v>
      </c>
      <c r="J45" s="89">
        <v>1336.8</v>
      </c>
      <c r="K45" s="88"/>
      <c r="L45" s="89"/>
    </row>
    <row r="46" spans="1:12">
      <c r="A46" s="23" t="str">
        <f>"New Converted Price ("&amp;TEXT($B$4,"yyyy-mm-dd")&amp;")"</f>
        <v>New Converted Price (2026-10-16)</v>
      </c>
      <c r="B46" s="23"/>
      <c r="E46" s="90">
        <f>E45*E44</f>
        <v>1020312.6</v>
      </c>
      <c r="F46" s="90">
        <f>F45*F44</f>
        <v>122410.77599999998</v>
      </c>
      <c r="G46" s="90">
        <f>G45*G44</f>
        <v>45919.08</v>
      </c>
      <c r="H46" s="90">
        <f>H45*H44</f>
        <v>236225.928</v>
      </c>
      <c r="I46" s="90">
        <f t="shared" ref="I46" si="9">I45*I44</f>
        <v>117130.416</v>
      </c>
      <c r="J46" s="90">
        <f t="shared" ref="J46" si="10">J45*J44</f>
        <v>91223.23199999999</v>
      </c>
      <c r="K46" s="90">
        <f t="shared" ref="K46" si="11">K45*K44</f>
        <v>0</v>
      </c>
      <c r="L46" s="90">
        <f t="shared" ref="L46" si="12">L45*L44</f>
        <v>0</v>
      </c>
    </row>
    <row r="47" spans="1:12">
      <c r="A47" s="110" t="s">
        <v>87</v>
      </c>
      <c r="B47" s="111"/>
      <c r="D47" s="112">
        <f>SUM(E47:AP47)</f>
        <v>6260587288.464</v>
      </c>
      <c r="E47" s="94">
        <f>IF(E38="Long",E42*E43*E46,IF(E38="Short",-E42*E43*E46,"None"))</f>
        <v>2448750240.0</v>
      </c>
      <c r="F47" s="94">
        <f t="shared" ref="F47:G47" si="13">IF(F38="Long",F42*F43*F46,IF(F38="Short",-F42*F43*F46,"None"))</f>
        <v>998749521.3839998</v>
      </c>
      <c r="G47" s="94">
        <f t="shared" si="13"/>
        <v>1561294639.0800002</v>
      </c>
      <c r="H47" s="94">
        <f t="shared" ref="H47:I47" si="14">IF(H38="Long",H42*H43*H46,IF(H38="Short",-H42*H43*H46,"None"))</f>
        <v>571666745.76</v>
      </c>
      <c r="I47" s="94">
        <f t="shared" si="14"/>
        <v>386296111.968</v>
      </c>
      <c r="J47" s="94">
        <f t="shared" ref="J47" si="15">IF(J38="Long",J42*J43*J46,IF(J38="Short",-J42*J43*J46,"None"))</f>
        <v>293830030.27199996</v>
      </c>
      <c r="K47" s="94" t="str">
        <f t="shared" ref="K47:L47" si="16">IF(K38="Long",K42*K43*K46,IF(K38="Short",-K42*K43*K46,"None"))</f>
        <v>None</v>
      </c>
      <c r="L47" s="94" t="str">
        <f t="shared" si="16"/>
        <v>None</v>
      </c>
    </row>
    <row r="48" spans="1:12">
      <c r="H48" s="113"/>
    </row>
    <row r="49" spans="1:9">
      <c r="A49" s="114" t="s">
        <v>88</v>
      </c>
      <c r="B49" s="115"/>
      <c r="D49" s="112">
        <f>D31+D47</f>
        <v>9468683508.01595</v>
      </c>
      <c r="F49" s="98">
        <f>D49/'09-Oct'!A6-1</f>
        <v>-0.05313164919840507</v>
      </c>
      <c r="H49" s="123"/>
      <c r="I49" s="123"/>
    </row>
    <row r="50" spans="1:9">
      <c r="F50" s="101" t="s">
        <v>89</v>
      </c>
      <c r="H50" s="123"/>
      <c r="I50" s="123"/>
    </row>
  </sheetData>
  <mergeCells count="40">
    <mergeCell ref="A7:B7"/>
    <mergeCell ref="A8:B8"/>
    <mergeCell ref="A9:D9"/>
    <mergeCell ref="A10:D10"/>
    <mergeCell ref="A11:B11"/>
    <mergeCell ref="A12:B12"/>
    <mergeCell ref="A13:B13"/>
    <mergeCell ref="A14:B14"/>
    <mergeCell ref="A15:B15"/>
    <mergeCell ref="A18:D18"/>
    <mergeCell ref="A19:D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H29:J29"/>
    <mergeCell ref="A37:D37"/>
    <mergeCell ref="A38:D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9:B49"/>
    <mergeCell ref="F3:F4"/>
    <mergeCell ref="H3:H4"/>
    <mergeCell ref="J1:J2"/>
    <mergeCell ref="J3:J4"/>
    <mergeCell ref="A1:B2"/>
    <mergeCell ref="K1:L2"/>
    <mergeCell ref="C1:I2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L50"/>
  <sheetViews>
    <sheetView zoomScale="80" zoomScaleNormal="80" workbookViewId="0">
      <pane xSplit="2" ySplit="5" topLeftCell="C6" activePane="bottomRight" state="frozen"/>
      <selection/>
      <selection pane="topRight"/>
      <selection pane="bottomLeft"/>
      <selection pane="bottomRight" activeCell="D5" sqref="D5"/>
    </sheetView>
  </sheetViews>
  <sheetFormatPr defaultColWidth="9" defaultRowHeight="16.8"/>
  <cols>
    <col min="1" max="2" width="20.625" style="1" customWidth="1"/>
    <col min="3" max="3" width="4.875" style="1" customWidth="1"/>
    <col min="4" max="12" width="20.625" style="1" customWidth="1"/>
    <col min="13" max="16384" width="9" style="1"/>
  </cols>
  <sheetData>
    <row r="1" ht="16.5" customHeight="1" spans="1:12">
      <c r="A1" s="29" t="str">
        <f>'Risk Mgmt'!A1</f>
        <v>DBA4014</v>
      </c>
      <c r="B1" s="30"/>
      <c r="C1" s="31" t="s">
        <v>90</v>
      </c>
      <c r="D1" s="31"/>
      <c r="E1" s="31"/>
      <c r="F1" s="31"/>
      <c r="G1" s="31"/>
      <c r="H1" s="31"/>
      <c r="I1" s="31"/>
      <c r="J1" s="32" t="s">
        <v>44</v>
      </c>
      <c r="K1" s="33" t="str">
        <f>TEXT(B4,"YYYY-MM-DD")</f>
        <v>2026-10-23</v>
      </c>
      <c r="L1" s="33"/>
    </row>
    <row r="2" ht="16.5" customHeight="1" spans="1:12">
      <c r="A2" s="34"/>
      <c r="B2" s="34"/>
      <c r="C2" s="31"/>
      <c r="D2" s="31"/>
      <c r="E2" s="31"/>
      <c r="F2" s="31"/>
      <c r="G2" s="31"/>
      <c r="H2" s="31"/>
      <c r="I2" s="31"/>
      <c r="J2" s="35"/>
      <c r="K2" s="33"/>
      <c r="L2" s="33"/>
    </row>
    <row r="3" spans="1:12">
      <c r="A3" s="4" t="s">
        <v>2</v>
      </c>
      <c r="B3" s="36" t="str">
        <f>'16-Oct'!B3:B3</f>
        <v>DBA4</v>
      </c>
      <c r="C3" s="37"/>
      <c r="D3" s="38" t="s">
        <v>28</v>
      </c>
      <c r="E3" s="38" t="s">
        <v>30</v>
      </c>
      <c r="F3" s="39" t="s">
        <v>33</v>
      </c>
      <c r="G3" s="40" t="str">
        <f>'Risk Mgmt'!B27</f>
        <v>Jacob</v>
      </c>
      <c r="H3" s="39" t="s">
        <v>35</v>
      </c>
      <c r="I3" s="40" t="str">
        <f>'Risk Mgmt'!B28</f>
        <v>장단비</v>
      </c>
      <c r="J3" s="39" t="s">
        <v>38</v>
      </c>
      <c r="K3" s="41" t="str">
        <f>'Risk Mgmt'!B29</f>
        <v>채영찬</v>
      </c>
    </row>
    <row r="4" spans="1:12">
      <c r="A4" s="1" t="s">
        <v>45</v>
      </c>
      <c r="B4" s="42">
        <f>'16-Oct'!B4+7</f>
        <v>46318</v>
      </c>
      <c r="C4" s="43" t="str">
        <f>IF(WEEKDAY(B4)=1,"SUN",IF(WEEKDAY(B4)=2,"MON",IF(WEEKDAY(B4)=3,"TUE",IF(WEEKDAY(B4)=4,"WED",IF(WEEKDAY(B4)=5,"THU",IF(WEEKDAY(B4)=6,"FRI",IF(WEEKDAY(B4)=7,"SAT","-")))))))</f>
        <v>FRI</v>
      </c>
      <c r="D4" s="40" t="str">
        <f>'Risk Mgmt'!B25</f>
        <v>김경수</v>
      </c>
      <c r="E4" s="40" t="str">
        <f>'Risk Mgmt'!B26</f>
        <v>박준형</v>
      </c>
      <c r="F4" s="44"/>
      <c r="G4" s="40">
        <f>'Risk Mgmt'!C27</f>
        <v>0</v>
      </c>
      <c r="H4" s="44"/>
      <c r="I4" s="40" t="str">
        <f>'Risk Mgmt'!C28</f>
        <v>홍예나</v>
      </c>
      <c r="J4" s="44"/>
      <c r="K4" s="41">
        <f>'Risk Mgmt'!C29</f>
        <v>0</v>
      </c>
    </row>
    <row r="5" spans="1:12">
      <c r="A5" s="45" t="s">
        <v>46</v>
      </c>
      <c r="B5" s="46">
        <f>B4+3</f>
        <v>46321</v>
      </c>
      <c r="C5" s="47" t="str">
        <f>IF(WEEKDAY(B5)=1,"SUN",IF(WEEKDAY(B5)=2,"MON",IF(WEEKDAY(B5)=3,"TUE",IF(WEEKDAY(B5)=4,"WED",IF(WEEKDAY(B5)=5,"THU",IF(WEEKDAY(B5)=6,"FRI",IF(WEEKDAY(B5)=7,"SAT","-")))))))</f>
        <v>MON</v>
      </c>
      <c r="D5" s="48"/>
      <c r="E5" s="48"/>
      <c r="F5" s="48"/>
      <c r="G5" s="48"/>
      <c r="H5" s="48"/>
      <c r="I5" s="48"/>
      <c r="J5" s="48"/>
      <c r="K5" s="48"/>
      <c r="L5" s="48"/>
    </row>
    <row r="6" ht="16.5" customHeight="1" spans="1:12">
      <c r="B6" s="49">
        <f>'16-Oct'!D34</f>
        <v>19888.0543338801</v>
      </c>
      <c r="C6" s="48"/>
      <c r="D6" s="50" t="s">
        <v>47</v>
      </c>
      <c r="E6" s="51" t="s">
        <v>6</v>
      </c>
      <c r="F6" s="51" t="s">
        <v>9</v>
      </c>
      <c r="G6" s="51" t="s">
        <v>48</v>
      </c>
      <c r="H6" s="51" t="s">
        <v>49</v>
      </c>
      <c r="I6" s="52" t="s">
        <v>50</v>
      </c>
      <c r="J6" s="52" t="s">
        <v>51</v>
      </c>
      <c r="K6" s="52" t="s">
        <v>52</v>
      </c>
    </row>
    <row r="7" spans="1:12">
      <c r="A7" s="53" t="s">
        <v>53</v>
      </c>
      <c r="B7" s="53"/>
      <c r="C7" s="48"/>
      <c r="D7" s="54"/>
      <c r="E7" s="55">
        <f>'16-Oct'!E7</f>
        <v>0.1</v>
      </c>
      <c r="F7" s="55">
        <f>'16-Oct'!F7</f>
        <v>0.15</v>
      </c>
      <c r="G7" s="55">
        <f>'16-Oct'!G7</f>
        <v>0.4</v>
      </c>
      <c r="H7" s="55">
        <f>'16-Oct'!H7</f>
        <v>0.8</v>
      </c>
      <c r="I7" s="56">
        <f>'16-Oct'!I7</f>
        <v>0.1</v>
      </c>
      <c r="J7" s="56">
        <f>'16-Oct'!J7</f>
        <v>0.1</v>
      </c>
      <c r="K7" s="56">
        <f>'16-Oct'!K7</f>
        <v>0.1</v>
      </c>
    </row>
    <row r="8" spans="1:12">
      <c r="A8" s="57"/>
      <c r="B8" s="57"/>
      <c r="C8" s="48"/>
      <c r="D8" s="58"/>
      <c r="E8" s="117"/>
      <c r="F8" s="117"/>
      <c r="G8" s="58"/>
      <c r="H8" s="117"/>
      <c r="I8" s="58"/>
      <c r="J8" s="58"/>
      <c r="K8" s="58"/>
      <c r="L8" s="58"/>
    </row>
    <row r="9" ht="20.4" spans="1:12">
      <c r="A9" s="59" t="s">
        <v>83</v>
      </c>
      <c r="B9" s="59"/>
      <c r="C9" s="59"/>
      <c r="D9" s="59"/>
      <c r="E9" s="60">
        <v>1</v>
      </c>
      <c r="F9" s="60">
        <v>2</v>
      </c>
      <c r="G9" s="60">
        <v>3</v>
      </c>
      <c r="H9" s="60">
        <v>4</v>
      </c>
      <c r="I9" s="60">
        <v>5</v>
      </c>
      <c r="J9" s="60">
        <v>6</v>
      </c>
      <c r="K9" s="60">
        <v>7</v>
      </c>
      <c r="L9" s="60">
        <v>8</v>
      </c>
    </row>
    <row r="10" ht="17.6" spans="1:12">
      <c r="A10" s="61" t="s">
        <v>55</v>
      </c>
      <c r="B10" s="61"/>
      <c r="C10" s="61"/>
      <c r="D10" s="62"/>
      <c r="E10" s="63">
        <f>'16-Oct'!E38</f>
        <v>0</v>
      </c>
      <c r="F10" s="63">
        <f>'16-Oct'!F38</f>
        <v>0</v>
      </c>
      <c r="G10" s="63">
        <f>'16-Oct'!G38</f>
        <v>0</v>
      </c>
      <c r="H10" s="63">
        <f>'16-Oct'!H38</f>
        <v>0</v>
      </c>
      <c r="I10" s="63">
        <f>'16-Oct'!I38</f>
        <v>0</v>
      </c>
      <c r="J10" s="63">
        <f>'16-Oct'!J38</f>
        <v>0</v>
      </c>
      <c r="K10" s="63">
        <f>'16-Oct'!K38</f>
        <v>0</v>
      </c>
      <c r="L10" s="63">
        <f>'16-Oct'!L38</f>
        <v>0</v>
      </c>
    </row>
    <row r="11" spans="1:12">
      <c r="A11" s="64" t="s">
        <v>57</v>
      </c>
      <c r="B11" s="64"/>
      <c r="C11" s="48"/>
      <c r="D11" s="58"/>
      <c r="E11" s="63">
        <f>'16-Oct'!E39</f>
        <v>0</v>
      </c>
      <c r="F11" s="63">
        <f>'16-Oct'!F39</f>
        <v>0</v>
      </c>
      <c r="G11" s="63">
        <f>'16-Oct'!G39</f>
        <v>0</v>
      </c>
      <c r="H11" s="63">
        <f>'16-Oct'!H39</f>
        <v>0</v>
      </c>
      <c r="I11" s="63">
        <f>'16-Oct'!I39</f>
        <v>0</v>
      </c>
      <c r="J11" s="63">
        <f>'16-Oct'!J39</f>
        <v>0</v>
      </c>
      <c r="K11" s="63">
        <f>'16-Oct'!K39</f>
        <v>0</v>
      </c>
      <c r="L11" s="63">
        <f>'16-Oct'!L39</f>
        <v>0</v>
      </c>
    </row>
    <row r="12" spans="1:12">
      <c r="A12" s="64" t="s">
        <v>64</v>
      </c>
      <c r="B12" s="64"/>
      <c r="C12" s="48"/>
      <c r="D12" s="58"/>
      <c r="E12" s="63">
        <f>'16-Oct'!E40</f>
        <v>0</v>
      </c>
      <c r="F12" s="63">
        <f>'16-Oct'!F40</f>
        <v>0</v>
      </c>
      <c r="G12" s="63">
        <f>'16-Oct'!G40</f>
        <v>0</v>
      </c>
      <c r="H12" s="63">
        <f>'16-Oct'!H40</f>
        <v>0</v>
      </c>
      <c r="I12" s="63">
        <f>'16-Oct'!I40</f>
        <v>0</v>
      </c>
      <c r="J12" s="63">
        <f>'16-Oct'!J40</f>
        <v>0</v>
      </c>
      <c r="K12" s="63">
        <f>'16-Oct'!K40</f>
        <v>0</v>
      </c>
      <c r="L12" s="63">
        <f>'16-Oct'!L40</f>
        <v>0</v>
      </c>
    </row>
    <row r="13" spans="1:12">
      <c r="A13" s="65" t="s">
        <v>71</v>
      </c>
      <c r="B13" s="66"/>
      <c r="C13" s="48"/>
      <c r="D13" s="58"/>
      <c r="E13" s="63">
        <f>'16-Oct'!E41</f>
        <v>0</v>
      </c>
      <c r="F13" s="63">
        <f>'16-Oct'!F41</f>
        <v>0</v>
      </c>
      <c r="G13" s="63">
        <f>'16-Oct'!G41</f>
        <v>0</v>
      </c>
      <c r="H13" s="63">
        <f>'16-Oct'!H41</f>
        <v>0</v>
      </c>
      <c r="I13" s="63">
        <f>'16-Oct'!I41</f>
        <v>0</v>
      </c>
      <c r="J13" s="63">
        <f>'16-Oct'!J41</f>
        <v>0</v>
      </c>
      <c r="K13" s="63">
        <f>'16-Oct'!K41</f>
        <v>0</v>
      </c>
      <c r="L13" s="63">
        <f>'16-Oct'!L41</f>
        <v>0</v>
      </c>
    </row>
    <row r="14" ht="17" spans="1:12">
      <c r="A14" s="64" t="s">
        <v>72</v>
      </c>
      <c r="B14" s="64"/>
      <c r="C14" s="48"/>
      <c r="D14" s="58"/>
      <c r="E14" s="67">
        <f>'16-Oct'!E42</f>
        <v>0</v>
      </c>
      <c r="F14" s="67">
        <f>'16-Oct'!F42</f>
        <v>0</v>
      </c>
      <c r="G14" s="67">
        <f>'16-Oct'!G42</f>
        <v>0</v>
      </c>
      <c r="H14" s="67">
        <f>'16-Oct'!H42</f>
        <v>0</v>
      </c>
      <c r="I14" s="67">
        <f>'16-Oct'!I42</f>
        <v>0</v>
      </c>
      <c r="J14" s="67">
        <f>'16-Oct'!J42</f>
        <v>0</v>
      </c>
      <c r="K14" s="67">
        <f>'16-Oct'!K42</f>
        <v>0</v>
      </c>
      <c r="L14" s="67">
        <f>'16-Oct'!L42</f>
        <v>0</v>
      </c>
    </row>
    <row r="15" ht="17" spans="1:12">
      <c r="A15" s="68" t="s">
        <v>73</v>
      </c>
      <c r="B15" s="69"/>
      <c r="C15" s="48"/>
      <c r="D15" s="58"/>
      <c r="E15" s="63">
        <f>'16-Oct'!E43</f>
        <v>0</v>
      </c>
      <c r="F15" s="63">
        <f>'16-Oct'!F43</f>
        <v>0</v>
      </c>
      <c r="G15" s="63">
        <f>'16-Oct'!G43</f>
        <v>0</v>
      </c>
      <c r="H15" s="63">
        <f>'16-Oct'!H43</f>
        <v>0</v>
      </c>
      <c r="I15" s="63">
        <f>'16-Oct'!I43</f>
        <v>0</v>
      </c>
      <c r="J15" s="63">
        <f>'16-Oct'!J43</f>
        <v>0</v>
      </c>
      <c r="K15" s="63">
        <f>'16-Oct'!K43</f>
        <v>0</v>
      </c>
      <c r="L15" s="63">
        <f>'16-Oct'!L43</f>
        <v>0</v>
      </c>
    </row>
    <row r="16" spans="1:12">
      <c r="A16" s="2"/>
      <c r="B16" s="2"/>
      <c r="C16" s="48"/>
      <c r="D16" s="103"/>
      <c r="E16" s="71"/>
      <c r="F16" s="71"/>
      <c r="G16" s="71"/>
      <c r="H16" s="72"/>
      <c r="I16" s="71"/>
      <c r="J16" s="71"/>
      <c r="K16" s="71"/>
      <c r="L16" s="72"/>
    </row>
    <row r="17" spans="1:12">
      <c r="A17" s="116"/>
      <c r="B17" s="116"/>
      <c r="C17" s="48"/>
      <c r="D17" s="58"/>
      <c r="E17" s="73"/>
      <c r="F17" s="73"/>
      <c r="G17" s="74"/>
      <c r="H17" s="73"/>
      <c r="I17" s="73"/>
      <c r="J17" s="73"/>
      <c r="K17" s="74"/>
      <c r="L17" s="73"/>
    </row>
    <row r="18" ht="20.4" spans="1:12">
      <c r="A18" s="59" t="s">
        <v>84</v>
      </c>
      <c r="B18" s="59"/>
      <c r="C18" s="59"/>
      <c r="D18" s="59"/>
      <c r="E18" s="76">
        <v>1</v>
      </c>
      <c r="F18" s="60">
        <v>2</v>
      </c>
      <c r="G18" s="60">
        <v>3</v>
      </c>
      <c r="H18" s="60">
        <v>4</v>
      </c>
      <c r="I18" s="60">
        <v>5</v>
      </c>
      <c r="J18" s="60">
        <v>6</v>
      </c>
      <c r="K18" s="60">
        <v>7</v>
      </c>
      <c r="L18" s="60">
        <v>8</v>
      </c>
    </row>
    <row r="19" ht="17.6" spans="1:12">
      <c r="A19" s="77" t="s">
        <v>85</v>
      </c>
      <c r="B19" s="77"/>
      <c r="C19" s="77"/>
      <c r="D19" s="78"/>
      <c r="E19" s="40"/>
      <c r="F19" s="23"/>
      <c r="G19" s="40"/>
      <c r="H19" s="23"/>
      <c r="I19" s="40"/>
      <c r="J19" s="23"/>
      <c r="K19" s="40"/>
      <c r="L19" s="23"/>
    </row>
    <row r="20" spans="1:12">
      <c r="A20" s="64" t="s">
        <v>57</v>
      </c>
      <c r="B20" s="64"/>
      <c r="C20" s="58"/>
      <c r="D20" s="58"/>
      <c r="E20" s="79"/>
      <c r="F20" s="80"/>
      <c r="G20" s="79"/>
      <c r="H20" s="80"/>
      <c r="I20" s="79"/>
      <c r="J20" s="80"/>
      <c r="K20" s="79"/>
      <c r="L20" s="80"/>
    </row>
    <row r="21" spans="1:12">
      <c r="A21" s="64" t="s">
        <v>64</v>
      </c>
      <c r="B21" s="64"/>
      <c r="C21" s="58"/>
      <c r="D21" s="58"/>
      <c r="E21" s="40"/>
      <c r="F21" s="23"/>
      <c r="G21" s="40"/>
      <c r="H21" s="23"/>
      <c r="I21" s="40"/>
      <c r="J21" s="23"/>
      <c r="K21" s="40"/>
      <c r="L21" s="23"/>
    </row>
    <row r="22" spans="1:12">
      <c r="A22" s="65" t="s">
        <v>71</v>
      </c>
      <c r="B22" s="66"/>
      <c r="C22" s="58"/>
      <c r="D22" s="58"/>
      <c r="E22" s="41"/>
      <c r="F22" s="81"/>
      <c r="G22" s="41"/>
      <c r="H22" s="81"/>
      <c r="I22" s="41"/>
      <c r="J22" s="81"/>
      <c r="K22" s="41"/>
      <c r="L22" s="81"/>
    </row>
    <row r="23" ht="17" spans="1:12">
      <c r="A23" s="64" t="s">
        <v>72</v>
      </c>
      <c r="B23" s="64"/>
      <c r="C23" s="58"/>
      <c r="D23" s="58"/>
      <c r="E23" s="82"/>
      <c r="F23" s="83"/>
      <c r="G23" s="82"/>
      <c r="H23" s="83"/>
      <c r="I23" s="82"/>
      <c r="J23" s="83"/>
      <c r="K23" s="82"/>
      <c r="L23" s="83"/>
    </row>
    <row r="24" ht="17" spans="1:12">
      <c r="A24" s="68" t="s">
        <v>73</v>
      </c>
      <c r="B24" s="69"/>
      <c r="C24" s="58"/>
      <c r="D24" s="58"/>
      <c r="E24" s="84"/>
      <c r="F24" s="84"/>
      <c r="G24" s="84"/>
      <c r="H24" s="84"/>
      <c r="I24" s="84"/>
      <c r="J24" s="84"/>
      <c r="K24" s="84"/>
      <c r="L24" s="84"/>
    </row>
    <row r="25" spans="1:12">
      <c r="A25" s="81" t="str">
        <f>"New Price ("&amp;TEXT($B$4,"yyyy-mm-dd")&amp;")"</f>
        <v>New Price (2026-10-23)</v>
      </c>
      <c r="B25" s="85"/>
      <c r="C25" s="58"/>
      <c r="D25" s="58"/>
      <c r="E25" s="86"/>
      <c r="F25" s="87"/>
      <c r="G25" s="86"/>
      <c r="H25" s="87"/>
      <c r="I25" s="86"/>
      <c r="J25" s="87"/>
      <c r="K25" s="86"/>
      <c r="L25" s="87"/>
    </row>
    <row r="26" spans="1:12">
      <c r="A26" s="81" t="str">
        <f>"New FX (exchange rate) ("&amp;TEXT($B$4,"yyyy-mm-dd")&amp;")"</f>
        <v>New FX (exchange rate) (2026-10-23)</v>
      </c>
      <c r="B26" s="85"/>
      <c r="C26" s="58"/>
      <c r="D26" s="58"/>
      <c r="E26" s="88"/>
      <c r="F26" s="89"/>
      <c r="G26" s="88"/>
      <c r="H26" s="89"/>
      <c r="I26" s="88"/>
      <c r="J26" s="89"/>
      <c r="K26" s="88"/>
      <c r="L26" s="89"/>
    </row>
    <row r="27" spans="1:12">
      <c r="A27" s="23" t="str">
        <f>"New Converted Price ("&amp;TEXT($B$4,"yyyy-mm-dd")&amp;")"</f>
        <v>New Converted Price (2026-10-23)</v>
      </c>
      <c r="B27" s="23"/>
      <c r="C27" s="58"/>
      <c r="D27" s="58"/>
      <c r="E27" s="90">
        <f t="shared" ref="E27" si="0">E26*E25</f>
        <v>0</v>
      </c>
      <c r="F27" s="90">
        <f t="shared" ref="F27" si="1">F26*F25</f>
        <v>0</v>
      </c>
      <c r="G27" s="90">
        <f t="shared" ref="G27:H27" si="2">G26*G25</f>
        <v>0</v>
      </c>
      <c r="H27" s="90">
        <f t="shared" si="2"/>
        <v>0</v>
      </c>
      <c r="I27" s="90">
        <f t="shared" ref="I27" si="3">I26*I25</f>
        <v>0</v>
      </c>
      <c r="J27" s="90">
        <f t="shared" ref="J27" si="4">J26*J25</f>
        <v>0</v>
      </c>
      <c r="K27" s="90">
        <f t="shared" ref="K27" si="5">K26*K25</f>
        <v>0</v>
      </c>
      <c r="L27" s="90">
        <f t="shared" ref="L27" si="6">L26*L25</f>
        <v>0</v>
      </c>
    </row>
    <row r="28" ht="16.5" customHeight="1" spans="1:12">
      <c r="A28" s="91" t="s">
        <v>78</v>
      </c>
      <c r="B28" s="92"/>
      <c r="C28" s="58"/>
      <c r="D28" s="93">
        <f>SUM(E28:AF28)</f>
        <v>0</v>
      </c>
      <c r="E28" s="94" t="str">
        <f>IF(E19="Buy",-E23*E24*E27,IF(E19="Sell",+E23*E24*E27,"None"))</f>
        <v>None</v>
      </c>
      <c r="F28" s="94" t="str">
        <f t="shared" ref="F28:L28" si="7">IF(F19="Buy",-F23*F24*F27,IF(F19="Sell",+F23*F24*F27,"None"))</f>
        <v>None</v>
      </c>
      <c r="G28" s="94" t="str">
        <f t="shared" si="7"/>
        <v>None</v>
      </c>
      <c r="H28" s="94" t="str">
        <f t="shared" si="7"/>
        <v>None</v>
      </c>
      <c r="I28" s="94" t="str">
        <f t="shared" si="7"/>
        <v>None</v>
      </c>
      <c r="J28" s="94" t="str">
        <f t="shared" si="7"/>
        <v>None</v>
      </c>
      <c r="K28" s="94" t="str">
        <f t="shared" si="7"/>
        <v>None</v>
      </c>
      <c r="L28" s="94" t="str">
        <f t="shared" si="7"/>
        <v>None</v>
      </c>
    </row>
    <row r="29" spans="1:12">
      <c r="A29" s="2"/>
      <c r="B29" s="2"/>
      <c r="D29" s="95" t="s">
        <v>79</v>
      </c>
      <c r="E29" s="96"/>
      <c r="F29" s="96"/>
      <c r="H29" s="96"/>
      <c r="I29" s="96"/>
      <c r="J29" s="96"/>
      <c r="K29" s="96"/>
      <c r="L29" s="96"/>
    </row>
    <row r="30" spans="1:12">
      <c r="A30" s="2"/>
      <c r="B30" s="2"/>
      <c r="E30" s="96"/>
      <c r="F30" s="96"/>
      <c r="H30" s="96"/>
      <c r="I30" s="96"/>
      <c r="J30" s="96"/>
      <c r="K30" s="96"/>
      <c r="L30" s="96"/>
    </row>
    <row r="31" ht="16.5" customHeight="1" spans="1:12">
      <c r="D31" s="97">
        <f>B6+D28</f>
        <v>19888.0543338801</v>
      </c>
    </row>
    <row r="32" spans="1:12">
      <c r="D32" s="95" t="s">
        <v>80</v>
      </c>
    </row>
    <row r="34" spans="1:12">
      <c r="A34" s="99" t="str">
        <f>IF(D31&gt;0,"+"," ")</f>
        <v>+</v>
      </c>
      <c r="B34" s="104">
        <f>IF(D31&gt;0,0.035%,0.07%)</f>
        <v>0.00035</v>
      </c>
      <c r="D34" s="105">
        <f>D31*(1+B34)</f>
        <v>19895.0151528969</v>
      </c>
    </row>
    <row r="35" spans="1:12">
      <c r="D35" s="106" t="s">
        <v>81</v>
      </c>
    </row>
    <row r="37" ht="20.4" spans="1:12">
      <c r="A37" s="59" t="s">
        <v>86</v>
      </c>
      <c r="B37" s="59"/>
      <c r="C37" s="59"/>
      <c r="D37" s="59"/>
      <c r="E37" s="60">
        <v>1</v>
      </c>
      <c r="F37" s="60">
        <v>2</v>
      </c>
      <c r="G37" s="60">
        <v>3</v>
      </c>
      <c r="H37" s="60">
        <v>4</v>
      </c>
      <c r="I37" s="60">
        <v>5</v>
      </c>
      <c r="J37" s="60">
        <v>6</v>
      </c>
      <c r="K37" s="60">
        <v>7</v>
      </c>
      <c r="L37" s="60">
        <v>8</v>
      </c>
    </row>
    <row r="38" ht="17.6" spans="1:12">
      <c r="A38" s="61" t="s">
        <v>55</v>
      </c>
      <c r="B38" s="61"/>
      <c r="C38" s="61"/>
      <c r="D38" s="62"/>
      <c r="E38" s="40"/>
      <c r="F38" s="23"/>
      <c r="G38" s="40"/>
      <c r="H38" s="23"/>
      <c r="I38" s="40"/>
      <c r="J38" s="23"/>
      <c r="K38" s="40"/>
      <c r="L38" s="23"/>
    </row>
    <row r="39" spans="1:12">
      <c r="A39" s="64" t="s">
        <v>57</v>
      </c>
      <c r="B39" s="64"/>
      <c r="C39" s="48"/>
      <c r="D39" s="58"/>
      <c r="E39" s="79"/>
      <c r="F39" s="80"/>
      <c r="G39" s="79"/>
      <c r="H39" s="80"/>
      <c r="I39" s="79"/>
      <c r="J39" s="80"/>
      <c r="K39" s="79"/>
      <c r="L39" s="80"/>
    </row>
    <row r="40" spans="1:12">
      <c r="A40" s="64" t="s">
        <v>64</v>
      </c>
      <c r="B40" s="64"/>
      <c r="C40" s="48"/>
      <c r="D40" s="58"/>
      <c r="E40" s="40"/>
      <c r="F40" s="23"/>
      <c r="G40" s="40"/>
      <c r="H40" s="23"/>
      <c r="I40" s="40"/>
      <c r="J40" s="23"/>
      <c r="K40" s="40"/>
      <c r="L40" s="23"/>
    </row>
    <row r="41" spans="1:12">
      <c r="A41" s="65" t="s">
        <v>71</v>
      </c>
      <c r="B41" s="66"/>
      <c r="C41" s="48"/>
      <c r="D41" s="58"/>
      <c r="E41" s="41"/>
      <c r="F41" s="81"/>
      <c r="G41" s="41"/>
      <c r="H41" s="81"/>
      <c r="I41" s="41"/>
      <c r="J41" s="81"/>
      <c r="K41" s="41"/>
      <c r="L41" s="81"/>
    </row>
    <row r="42" ht="17" spans="1:12">
      <c r="A42" s="64" t="s">
        <v>72</v>
      </c>
      <c r="B42" s="64"/>
      <c r="C42" s="48"/>
      <c r="D42" s="58"/>
      <c r="E42" s="82"/>
      <c r="F42" s="83"/>
      <c r="G42" s="82"/>
      <c r="H42" s="83"/>
      <c r="I42" s="82"/>
      <c r="J42" s="83"/>
      <c r="K42" s="82"/>
      <c r="L42" s="83"/>
    </row>
    <row r="43" ht="17" spans="1:12">
      <c r="A43" s="68" t="s">
        <v>73</v>
      </c>
      <c r="B43" s="69"/>
      <c r="C43" s="48"/>
      <c r="D43" s="58"/>
      <c r="E43" s="107"/>
      <c r="F43" s="107"/>
      <c r="G43" s="107"/>
      <c r="H43" s="107"/>
      <c r="I43" s="107"/>
      <c r="J43" s="107"/>
      <c r="K43" s="107"/>
      <c r="L43" s="107"/>
    </row>
    <row r="44" spans="1:12">
      <c r="A44" s="108" t="str">
        <f>"New Price ("&amp;TEXT($B$4,"yyyy-mm-dd")&amp;")"</f>
        <v>New Price (2026-10-23)</v>
      </c>
      <c r="B44" s="109"/>
      <c r="E44" s="86"/>
      <c r="F44" s="87"/>
      <c r="G44" s="86"/>
      <c r="H44" s="87"/>
      <c r="I44" s="86"/>
      <c r="J44" s="87"/>
      <c r="K44" s="86"/>
      <c r="L44" s="87"/>
    </row>
    <row r="45" spans="1:12">
      <c r="A45" s="81" t="str">
        <f>"New FX (exchange rate) ("&amp;TEXT($B$4,"yyyy-mm-dd")&amp;")"</f>
        <v>New FX (exchange rate) (2026-10-23)</v>
      </c>
      <c r="B45" s="85"/>
      <c r="E45" s="88"/>
      <c r="F45" s="89"/>
      <c r="G45" s="88"/>
      <c r="H45" s="89"/>
      <c r="I45" s="88"/>
      <c r="J45" s="89"/>
      <c r="K45" s="88"/>
      <c r="L45" s="89"/>
    </row>
    <row r="46" spans="1:12">
      <c r="A46" s="23" t="str">
        <f>"New Converted Price ("&amp;TEXT($B$4,"yyyy-mm-dd")&amp;")"</f>
        <v>New Converted Price (2026-10-23)</v>
      </c>
      <c r="B46" s="23"/>
      <c r="E46" s="90">
        <f t="shared" ref="E46" si="8">E45*E44</f>
        <v>0</v>
      </c>
      <c r="F46" s="90">
        <f t="shared" ref="F46" si="9">F45*F44</f>
        <v>0</v>
      </c>
      <c r="G46" s="90">
        <f t="shared" ref="G46" si="10">G45*G44</f>
        <v>0</v>
      </c>
      <c r="H46" s="90">
        <f t="shared" ref="H46:I46" si="11">H45*H44</f>
        <v>0</v>
      </c>
      <c r="I46" s="90">
        <f t="shared" si="11"/>
        <v>0</v>
      </c>
      <c r="J46" s="90">
        <f t="shared" ref="J46" si="12">J45*J44</f>
        <v>0</v>
      </c>
      <c r="K46" s="90">
        <f t="shared" ref="K46" si="13">K45*K44</f>
        <v>0</v>
      </c>
      <c r="L46" s="90">
        <f t="shared" ref="L46" si="14">L45*L44</f>
        <v>0</v>
      </c>
    </row>
    <row r="47" spans="1:12">
      <c r="A47" s="110" t="s">
        <v>87</v>
      </c>
      <c r="B47" s="111"/>
      <c r="D47" s="112">
        <f>SUM(E47:AF47)</f>
        <v>0</v>
      </c>
      <c r="E47" s="94" t="str">
        <f>IF(E38="Long",E42*E43*E46,IF(E38="Short",-E42*E43*E46,"None"))</f>
        <v>None</v>
      </c>
      <c r="F47" s="94" t="str">
        <f t="shared" ref="F47:L47" si="15">IF(F38="Long",F42*F43*F46,IF(F38="Short",-F42*F43*F46,"None"))</f>
        <v>None</v>
      </c>
      <c r="G47" s="94" t="str">
        <f t="shared" si="15"/>
        <v>None</v>
      </c>
      <c r="H47" s="94" t="str">
        <f t="shared" si="15"/>
        <v>None</v>
      </c>
      <c r="I47" s="94" t="str">
        <f t="shared" si="15"/>
        <v>None</v>
      </c>
      <c r="J47" s="94" t="str">
        <f t="shared" si="15"/>
        <v>None</v>
      </c>
      <c r="K47" s="94" t="str">
        <f t="shared" si="15"/>
        <v>None</v>
      </c>
      <c r="L47" s="94" t="str">
        <f t="shared" si="15"/>
        <v>None</v>
      </c>
    </row>
    <row r="48" spans="1:12">
      <c r="H48" s="113"/>
    </row>
    <row r="49" spans="1:8">
      <c r="A49" s="114" t="s">
        <v>88</v>
      </c>
      <c r="B49" s="115"/>
      <c r="D49" s="112">
        <f>D31+D47</f>
        <v>19888.0543338801</v>
      </c>
      <c r="F49" s="98">
        <f>D49/'09-Oct'!A6-1</f>
        <v>-0.999998011194567</v>
      </c>
      <c r="H49" s="113"/>
    </row>
    <row r="50" spans="1:8">
      <c r="F50" s="101" t="s">
        <v>89</v>
      </c>
    </row>
  </sheetData>
  <mergeCells count="39">
    <mergeCell ref="A7:B7"/>
    <mergeCell ref="A8:B8"/>
    <mergeCell ref="A9:D9"/>
    <mergeCell ref="A10:D10"/>
    <mergeCell ref="A11:B11"/>
    <mergeCell ref="A12:B12"/>
    <mergeCell ref="A13:B13"/>
    <mergeCell ref="A14:B14"/>
    <mergeCell ref="A15:B15"/>
    <mergeCell ref="A18:D18"/>
    <mergeCell ref="A19:D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37:D37"/>
    <mergeCell ref="A38:D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9:B49"/>
    <mergeCell ref="F3:F4"/>
    <mergeCell ref="H3:H4"/>
    <mergeCell ref="J1:J2"/>
    <mergeCell ref="J3:J4"/>
    <mergeCell ref="A1:B2"/>
    <mergeCell ref="K1:L2"/>
    <mergeCell ref="C1:I2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L50"/>
  <sheetViews>
    <sheetView zoomScale="80" zoomScaleNormal="80" workbookViewId="0">
      <pane xSplit="2" ySplit="5" topLeftCell="C6" activePane="bottomRight" state="frozen"/>
      <selection/>
      <selection pane="topRight"/>
      <selection pane="bottomLeft"/>
      <selection pane="bottomRight" activeCell="D5" sqref="D5"/>
    </sheetView>
  </sheetViews>
  <sheetFormatPr defaultColWidth="9" defaultRowHeight="16.8"/>
  <cols>
    <col min="1" max="2" width="20.625" style="1" customWidth="1"/>
    <col min="3" max="3" width="4.875" style="1" customWidth="1"/>
    <col min="4" max="12" width="20.625" style="1" customWidth="1"/>
    <col min="13" max="16384" width="9" style="1"/>
  </cols>
  <sheetData>
    <row r="1" ht="16.5" customHeight="1" spans="1:12">
      <c r="A1" s="29" t="str">
        <f>'Risk Mgmt'!A1</f>
        <v>DBA4014</v>
      </c>
      <c r="B1" s="30"/>
      <c r="C1" s="31" t="s">
        <v>91</v>
      </c>
      <c r="D1" s="31"/>
      <c r="E1" s="31"/>
      <c r="F1" s="31"/>
      <c r="G1" s="31"/>
      <c r="H1" s="31"/>
      <c r="I1" s="31"/>
      <c r="J1" s="32" t="s">
        <v>44</v>
      </c>
      <c r="K1" s="33" t="str">
        <f>TEXT(B4,"YYYY-MM-DD")</f>
        <v>2026-10-30</v>
      </c>
      <c r="L1" s="33"/>
    </row>
    <row r="2" ht="16.5" customHeight="1" spans="1:12">
      <c r="A2" s="34"/>
      <c r="B2" s="34"/>
      <c r="C2" s="31"/>
      <c r="D2" s="31"/>
      <c r="E2" s="31"/>
      <c r="F2" s="31"/>
      <c r="G2" s="31"/>
      <c r="H2" s="31"/>
      <c r="I2" s="31"/>
      <c r="J2" s="35"/>
      <c r="K2" s="33"/>
      <c r="L2" s="33"/>
    </row>
    <row r="3" spans="1:12">
      <c r="A3" s="4" t="s">
        <v>2</v>
      </c>
      <c r="B3" s="36" t="str">
        <f>'23-Oct'!B3:B3</f>
        <v>DBA4</v>
      </c>
      <c r="C3" s="37"/>
      <c r="D3" s="38" t="s">
        <v>28</v>
      </c>
      <c r="E3" s="38" t="s">
        <v>30</v>
      </c>
      <c r="F3" s="39" t="s">
        <v>33</v>
      </c>
      <c r="G3" s="40" t="str">
        <f>'Risk Mgmt'!B27</f>
        <v>Jacob</v>
      </c>
      <c r="H3" s="39" t="s">
        <v>35</v>
      </c>
      <c r="I3" s="40" t="str">
        <f>'Risk Mgmt'!B28</f>
        <v>장단비</v>
      </c>
      <c r="J3" s="39" t="s">
        <v>38</v>
      </c>
      <c r="K3" s="41" t="str">
        <f>'Risk Mgmt'!B29</f>
        <v>채영찬</v>
      </c>
    </row>
    <row r="4" spans="1:12">
      <c r="A4" s="1" t="s">
        <v>45</v>
      </c>
      <c r="B4" s="42">
        <f>'23-Oct'!B4+7</f>
        <v>46325</v>
      </c>
      <c r="C4" s="43" t="str">
        <f>IF(WEEKDAY(B4)=1,"SUN",IF(WEEKDAY(B4)=2,"MON",IF(WEEKDAY(B4)=3,"TUE",IF(WEEKDAY(B4)=4,"WED",IF(WEEKDAY(B4)=5,"THU",IF(WEEKDAY(B4)=6,"FRI",IF(WEEKDAY(B4)=7,"SAT","-")))))))</f>
        <v>FRI</v>
      </c>
      <c r="D4" s="40" t="str">
        <f>'Risk Mgmt'!B25</f>
        <v>김경수</v>
      </c>
      <c r="E4" s="40" t="str">
        <f>'Risk Mgmt'!B26</f>
        <v>박준형</v>
      </c>
      <c r="F4" s="44"/>
      <c r="G4" s="40">
        <f>'Risk Mgmt'!C27</f>
        <v>0</v>
      </c>
      <c r="H4" s="44"/>
      <c r="I4" s="40" t="str">
        <f>'Risk Mgmt'!C28</f>
        <v>홍예나</v>
      </c>
      <c r="J4" s="44"/>
      <c r="K4" s="41">
        <f>'Risk Mgmt'!C29</f>
        <v>0</v>
      </c>
    </row>
    <row r="5" spans="1:12">
      <c r="A5" s="45" t="s">
        <v>46</v>
      </c>
      <c r="B5" s="46">
        <f>B4+3</f>
        <v>46328</v>
      </c>
      <c r="C5" s="47" t="str">
        <f>IF(WEEKDAY(B5)=1,"SUN",IF(WEEKDAY(B5)=2,"MON",IF(WEEKDAY(B5)=3,"TUE",IF(WEEKDAY(B5)=4,"WED",IF(WEEKDAY(B5)=5,"THU",IF(WEEKDAY(B5)=6,"FRI",IF(WEEKDAY(B5)=7,"SAT","-")))))))</f>
        <v>MON</v>
      </c>
      <c r="D5" s="48"/>
      <c r="E5" s="48"/>
      <c r="F5" s="48"/>
      <c r="G5" s="48"/>
      <c r="H5" s="48"/>
      <c r="I5" s="48"/>
      <c r="J5" s="48"/>
      <c r="K5" s="48"/>
      <c r="L5" s="48"/>
    </row>
    <row r="6" ht="16.5" customHeight="1" spans="1:12">
      <c r="B6" s="49">
        <f>'23-Oct'!D34</f>
        <v>19895.0151528969</v>
      </c>
      <c r="C6" s="48"/>
      <c r="D6" s="50" t="s">
        <v>47</v>
      </c>
      <c r="E6" s="51" t="s">
        <v>6</v>
      </c>
      <c r="F6" s="51" t="s">
        <v>9</v>
      </c>
      <c r="G6" s="51" t="s">
        <v>48</v>
      </c>
      <c r="H6" s="51" t="s">
        <v>49</v>
      </c>
      <c r="I6" s="52" t="s">
        <v>50</v>
      </c>
      <c r="J6" s="52" t="s">
        <v>51</v>
      </c>
      <c r="K6" s="52" t="s">
        <v>52</v>
      </c>
    </row>
    <row r="7" spans="1:12">
      <c r="A7" s="53" t="s">
        <v>53</v>
      </c>
      <c r="B7" s="53"/>
      <c r="C7" s="48"/>
      <c r="D7" s="54"/>
      <c r="E7" s="55">
        <f>'23-Oct'!E7</f>
        <v>0.1</v>
      </c>
      <c r="F7" s="55">
        <f>'23-Oct'!F7</f>
        <v>0.15</v>
      </c>
      <c r="G7" s="55">
        <f>'23-Oct'!G7</f>
        <v>0.4</v>
      </c>
      <c r="H7" s="55">
        <f>'23-Oct'!H7</f>
        <v>0.8</v>
      </c>
      <c r="I7" s="56">
        <f>'23-Oct'!I7</f>
        <v>0.1</v>
      </c>
      <c r="J7" s="56">
        <f>'23-Oct'!J7</f>
        <v>0.1</v>
      </c>
      <c r="K7" s="56">
        <f>'23-Oct'!K7</f>
        <v>0.1</v>
      </c>
    </row>
    <row r="8" spans="1:12">
      <c r="A8" s="57"/>
      <c r="B8" s="57"/>
      <c r="C8" s="48"/>
      <c r="D8" s="58"/>
      <c r="E8" s="58"/>
      <c r="F8" s="58"/>
      <c r="G8" s="58"/>
      <c r="H8" s="58"/>
      <c r="I8" s="58"/>
      <c r="J8" s="58"/>
      <c r="K8" s="58"/>
      <c r="L8" s="58"/>
    </row>
    <row r="9" ht="20.4" spans="1:12">
      <c r="A9" s="59" t="s">
        <v>83</v>
      </c>
      <c r="B9" s="59"/>
      <c r="C9" s="59"/>
      <c r="D9" s="59"/>
      <c r="E9" s="60">
        <v>1</v>
      </c>
      <c r="F9" s="60">
        <v>2</v>
      </c>
      <c r="G9" s="60">
        <v>3</v>
      </c>
      <c r="H9" s="60">
        <v>4</v>
      </c>
      <c r="I9" s="60">
        <v>5</v>
      </c>
      <c r="J9" s="60">
        <v>6</v>
      </c>
      <c r="K9" s="60">
        <v>7</v>
      </c>
      <c r="L9" s="60">
        <v>8</v>
      </c>
    </row>
    <row r="10" ht="17.6" spans="1:12">
      <c r="A10" s="61" t="s">
        <v>55</v>
      </c>
      <c r="B10" s="61"/>
      <c r="C10" s="61"/>
      <c r="D10" s="62"/>
      <c r="E10" s="63">
        <f>'23-Oct'!E38</f>
        <v>0</v>
      </c>
      <c r="F10" s="63">
        <f>'23-Oct'!F38</f>
        <v>0</v>
      </c>
      <c r="G10" s="63">
        <f>'23-Oct'!G38</f>
        <v>0</v>
      </c>
      <c r="H10" s="63">
        <f>'23-Oct'!H38</f>
        <v>0</v>
      </c>
      <c r="I10" s="63">
        <f>'23-Oct'!I38</f>
        <v>0</v>
      </c>
      <c r="J10" s="63">
        <f>'23-Oct'!J38</f>
        <v>0</v>
      </c>
      <c r="K10" s="63">
        <f>'23-Oct'!K38</f>
        <v>0</v>
      </c>
      <c r="L10" s="63">
        <f>'23-Oct'!L38</f>
        <v>0</v>
      </c>
    </row>
    <row r="11" spans="1:12">
      <c r="A11" s="64" t="s">
        <v>57</v>
      </c>
      <c r="B11" s="64"/>
      <c r="C11" s="48"/>
      <c r="D11" s="58"/>
      <c r="E11" s="63">
        <f>'23-Oct'!E39</f>
        <v>0</v>
      </c>
      <c r="F11" s="63">
        <f>'23-Oct'!F39</f>
        <v>0</v>
      </c>
      <c r="G11" s="63">
        <f>'23-Oct'!G39</f>
        <v>0</v>
      </c>
      <c r="H11" s="63">
        <f>'23-Oct'!H39</f>
        <v>0</v>
      </c>
      <c r="I11" s="63">
        <f>'23-Oct'!I39</f>
        <v>0</v>
      </c>
      <c r="J11" s="63">
        <f>'23-Oct'!J39</f>
        <v>0</v>
      </c>
      <c r="K11" s="63">
        <f>'23-Oct'!K39</f>
        <v>0</v>
      </c>
      <c r="L11" s="63">
        <f>'23-Oct'!L39</f>
        <v>0</v>
      </c>
    </row>
    <row r="12" spans="1:12">
      <c r="A12" s="64" t="s">
        <v>64</v>
      </c>
      <c r="B12" s="64"/>
      <c r="C12" s="48"/>
      <c r="D12" s="58"/>
      <c r="E12" s="63">
        <f>'23-Oct'!E40</f>
        <v>0</v>
      </c>
      <c r="F12" s="63">
        <f>'23-Oct'!F40</f>
        <v>0</v>
      </c>
      <c r="G12" s="63">
        <f>'23-Oct'!G40</f>
        <v>0</v>
      </c>
      <c r="H12" s="63">
        <f>'23-Oct'!H40</f>
        <v>0</v>
      </c>
      <c r="I12" s="63">
        <f>'23-Oct'!I40</f>
        <v>0</v>
      </c>
      <c r="J12" s="63">
        <f>'23-Oct'!J40</f>
        <v>0</v>
      </c>
      <c r="K12" s="63">
        <f>'23-Oct'!K40</f>
        <v>0</v>
      </c>
      <c r="L12" s="63">
        <f>'23-Oct'!L40</f>
        <v>0</v>
      </c>
    </row>
    <row r="13" spans="1:12">
      <c r="A13" s="65" t="s">
        <v>71</v>
      </c>
      <c r="B13" s="66"/>
      <c r="C13" s="48"/>
      <c r="D13" s="58"/>
      <c r="E13" s="63">
        <f>'23-Oct'!E41</f>
        <v>0</v>
      </c>
      <c r="F13" s="63">
        <f>'23-Oct'!F41</f>
        <v>0</v>
      </c>
      <c r="G13" s="63">
        <f>'23-Oct'!G41</f>
        <v>0</v>
      </c>
      <c r="H13" s="63">
        <f>'23-Oct'!H41</f>
        <v>0</v>
      </c>
      <c r="I13" s="63">
        <f>'23-Oct'!I41</f>
        <v>0</v>
      </c>
      <c r="J13" s="63">
        <f>'23-Oct'!J41</f>
        <v>0</v>
      </c>
      <c r="K13" s="63">
        <f>'23-Oct'!K41</f>
        <v>0</v>
      </c>
      <c r="L13" s="63">
        <f>'23-Oct'!L41</f>
        <v>0</v>
      </c>
    </row>
    <row r="14" ht="17" spans="1:12">
      <c r="A14" s="64" t="s">
        <v>72</v>
      </c>
      <c r="B14" s="64"/>
      <c r="C14" s="48"/>
      <c r="D14" s="58"/>
      <c r="E14" s="67">
        <f>'23-Oct'!E42</f>
        <v>0</v>
      </c>
      <c r="F14" s="67">
        <f>'23-Oct'!F42</f>
        <v>0</v>
      </c>
      <c r="G14" s="67">
        <f>'23-Oct'!G42</f>
        <v>0</v>
      </c>
      <c r="H14" s="67">
        <f>'23-Oct'!H42</f>
        <v>0</v>
      </c>
      <c r="I14" s="67">
        <f>'23-Oct'!I42</f>
        <v>0</v>
      </c>
      <c r="J14" s="67">
        <f>'23-Oct'!J42</f>
        <v>0</v>
      </c>
      <c r="K14" s="67">
        <f>'23-Oct'!K42</f>
        <v>0</v>
      </c>
      <c r="L14" s="67">
        <f>'23-Oct'!L42</f>
        <v>0</v>
      </c>
    </row>
    <row r="15" ht="17" spans="1:12">
      <c r="A15" s="68" t="s">
        <v>73</v>
      </c>
      <c r="B15" s="69"/>
      <c r="C15" s="48"/>
      <c r="D15" s="58"/>
      <c r="E15" s="63">
        <f>'23-Oct'!E43</f>
        <v>0</v>
      </c>
      <c r="F15" s="63">
        <f>'23-Oct'!F43</f>
        <v>0</v>
      </c>
      <c r="G15" s="63">
        <f>'23-Oct'!G43</f>
        <v>0</v>
      </c>
      <c r="H15" s="63">
        <f>'23-Oct'!H43</f>
        <v>0</v>
      </c>
      <c r="I15" s="63">
        <f>'23-Oct'!I43</f>
        <v>0</v>
      </c>
      <c r="J15" s="63">
        <f>'23-Oct'!J43</f>
        <v>0</v>
      </c>
      <c r="K15" s="63">
        <f>'23-Oct'!K43</f>
        <v>0</v>
      </c>
      <c r="L15" s="63">
        <f>'23-Oct'!L43</f>
        <v>0</v>
      </c>
    </row>
    <row r="16" spans="1:12">
      <c r="A16" s="116"/>
      <c r="B16" s="116"/>
      <c r="C16" s="48"/>
      <c r="D16" s="103"/>
      <c r="E16" s="71"/>
      <c r="F16" s="71"/>
      <c r="G16" s="71"/>
      <c r="H16" s="72"/>
      <c r="I16" s="71"/>
      <c r="J16" s="71"/>
      <c r="K16" s="71"/>
      <c r="L16" s="72"/>
    </row>
    <row r="17" spans="1:12">
      <c r="A17" s="116"/>
      <c r="B17" s="116"/>
      <c r="C17" s="48"/>
      <c r="D17" s="58"/>
      <c r="E17" s="73"/>
      <c r="F17" s="73"/>
      <c r="G17" s="74"/>
      <c r="H17" s="73"/>
      <c r="I17" s="73"/>
      <c r="J17" s="73"/>
      <c r="K17" s="74"/>
      <c r="L17" s="73"/>
    </row>
    <row r="18" ht="20.4" spans="1:12">
      <c r="A18" s="59" t="s">
        <v>84</v>
      </c>
      <c r="B18" s="59"/>
      <c r="C18" s="59"/>
      <c r="D18" s="59"/>
      <c r="E18" s="76">
        <v>1</v>
      </c>
      <c r="F18" s="60">
        <v>2</v>
      </c>
      <c r="G18" s="60">
        <v>3</v>
      </c>
      <c r="H18" s="60">
        <v>4</v>
      </c>
      <c r="I18" s="60">
        <v>5</v>
      </c>
      <c r="J18" s="60">
        <v>6</v>
      </c>
      <c r="K18" s="60">
        <v>7</v>
      </c>
      <c r="L18" s="60">
        <v>8</v>
      </c>
    </row>
    <row r="19" ht="17.6" spans="1:12">
      <c r="A19" s="77" t="s">
        <v>85</v>
      </c>
      <c r="B19" s="77"/>
      <c r="C19" s="77"/>
      <c r="D19" s="78"/>
      <c r="E19" s="40"/>
      <c r="F19" s="23"/>
      <c r="G19" s="40"/>
      <c r="H19" s="23"/>
      <c r="I19" s="40"/>
      <c r="J19" s="23"/>
      <c r="K19" s="40"/>
      <c r="L19" s="23"/>
    </row>
    <row r="20" spans="1:12">
      <c r="A20" s="64" t="s">
        <v>57</v>
      </c>
      <c r="B20" s="64"/>
      <c r="C20" s="58"/>
      <c r="D20" s="58"/>
      <c r="E20" s="79"/>
      <c r="F20" s="80"/>
      <c r="G20" s="79"/>
      <c r="H20" s="80"/>
      <c r="I20" s="79"/>
      <c r="J20" s="80"/>
      <c r="K20" s="79"/>
      <c r="L20" s="80"/>
    </row>
    <row r="21" spans="1:12">
      <c r="A21" s="64" t="s">
        <v>64</v>
      </c>
      <c r="B21" s="64"/>
      <c r="C21" s="58"/>
      <c r="D21" s="58"/>
      <c r="E21" s="40"/>
      <c r="F21" s="23"/>
      <c r="G21" s="40"/>
      <c r="H21" s="23"/>
      <c r="I21" s="40"/>
      <c r="J21" s="23"/>
      <c r="K21" s="40"/>
      <c r="L21" s="23"/>
    </row>
    <row r="22" spans="1:12">
      <c r="A22" s="65" t="s">
        <v>71</v>
      </c>
      <c r="B22" s="66"/>
      <c r="C22" s="58"/>
      <c r="D22" s="58"/>
      <c r="E22" s="41"/>
      <c r="F22" s="81"/>
      <c r="G22" s="41"/>
      <c r="H22" s="81"/>
      <c r="I22" s="41"/>
      <c r="J22" s="81"/>
      <c r="K22" s="41"/>
      <c r="L22" s="81"/>
    </row>
    <row r="23" ht="17" spans="1:12">
      <c r="A23" s="64" t="s">
        <v>72</v>
      </c>
      <c r="B23" s="64"/>
      <c r="C23" s="58"/>
      <c r="D23" s="58"/>
      <c r="E23" s="82"/>
      <c r="F23" s="83"/>
      <c r="G23" s="82"/>
      <c r="H23" s="83"/>
      <c r="I23" s="82"/>
      <c r="J23" s="83"/>
      <c r="K23" s="82"/>
      <c r="L23" s="83"/>
    </row>
    <row r="24" ht="17" spans="1:12">
      <c r="A24" s="68" t="s">
        <v>73</v>
      </c>
      <c r="B24" s="69"/>
      <c r="C24" s="58"/>
      <c r="D24" s="58"/>
      <c r="E24" s="84"/>
      <c r="F24" s="84"/>
      <c r="G24" s="84"/>
      <c r="H24" s="84"/>
      <c r="I24" s="84"/>
      <c r="J24" s="84"/>
      <c r="K24" s="84"/>
      <c r="L24" s="84"/>
    </row>
    <row r="25" spans="1:12">
      <c r="A25" s="81" t="str">
        <f>"New Price ("&amp;TEXT($B$4,"yyyy-mm-dd")&amp;")"</f>
        <v>New Price (2026-10-30)</v>
      </c>
      <c r="B25" s="85"/>
      <c r="C25" s="58"/>
      <c r="D25" s="58"/>
      <c r="E25" s="86"/>
      <c r="F25" s="87"/>
      <c r="G25" s="86"/>
      <c r="H25" s="87"/>
      <c r="I25" s="86"/>
      <c r="J25" s="87"/>
      <c r="K25" s="86"/>
      <c r="L25" s="87"/>
    </row>
    <row r="26" spans="1:12">
      <c r="A26" s="81" t="str">
        <f>"New FX (exchange rate) ("&amp;TEXT($B$4,"yyyy-mm-dd")&amp;")"</f>
        <v>New FX (exchange rate) (2026-10-30)</v>
      </c>
      <c r="B26" s="85"/>
      <c r="C26" s="58"/>
      <c r="D26" s="58"/>
      <c r="E26" s="88"/>
      <c r="F26" s="89"/>
      <c r="G26" s="88"/>
      <c r="H26" s="89"/>
      <c r="I26" s="88"/>
      <c r="J26" s="89"/>
      <c r="K26" s="88"/>
      <c r="L26" s="89"/>
    </row>
    <row r="27" spans="1:12">
      <c r="A27" s="23" t="str">
        <f>"New Converted Price ("&amp;TEXT($B$4,"yyyy-mm-dd")&amp;")"</f>
        <v>New Converted Price (2026-10-30)</v>
      </c>
      <c r="B27" s="23"/>
      <c r="C27" s="58"/>
      <c r="D27" s="58"/>
      <c r="E27" s="90">
        <f t="shared" ref="E27" si="0">E26*E25</f>
        <v>0</v>
      </c>
      <c r="F27" s="90">
        <f t="shared" ref="F27" si="1">F26*F25</f>
        <v>0</v>
      </c>
      <c r="G27" s="90">
        <f t="shared" ref="G27:H27" si="2">G26*G25</f>
        <v>0</v>
      </c>
      <c r="H27" s="90">
        <f t="shared" si="2"/>
        <v>0</v>
      </c>
      <c r="I27" s="90">
        <f t="shared" ref="I27" si="3">I26*I25</f>
        <v>0</v>
      </c>
      <c r="J27" s="90">
        <f t="shared" ref="J27" si="4">J26*J25</f>
        <v>0</v>
      </c>
      <c r="K27" s="90">
        <f t="shared" ref="K27" si="5">K26*K25</f>
        <v>0</v>
      </c>
      <c r="L27" s="90">
        <f t="shared" ref="L27" si="6">L26*L25</f>
        <v>0</v>
      </c>
    </row>
    <row r="28" ht="16.5" customHeight="1" spans="1:12">
      <c r="A28" s="91" t="s">
        <v>78</v>
      </c>
      <c r="B28" s="92"/>
      <c r="C28" s="58"/>
      <c r="D28" s="93">
        <f>SUM(E28:AF28)</f>
        <v>0</v>
      </c>
      <c r="E28" s="94" t="str">
        <f>IF(E19="Buy",-E23*E24*E27,IF(E19="Sell",+E23*E24*E27,"None"))</f>
        <v>None</v>
      </c>
      <c r="F28" s="94" t="str">
        <f t="shared" ref="F28:L28" si="7">IF(F19="Buy",-F23*F24*F27,IF(F19="Sell",+F23*F24*F27,"None"))</f>
        <v>None</v>
      </c>
      <c r="G28" s="94" t="str">
        <f t="shared" si="7"/>
        <v>None</v>
      </c>
      <c r="H28" s="94" t="str">
        <f t="shared" si="7"/>
        <v>None</v>
      </c>
      <c r="I28" s="94" t="str">
        <f t="shared" si="7"/>
        <v>None</v>
      </c>
      <c r="J28" s="94" t="str">
        <f t="shared" si="7"/>
        <v>None</v>
      </c>
      <c r="K28" s="94" t="str">
        <f t="shared" si="7"/>
        <v>None</v>
      </c>
      <c r="L28" s="94" t="str">
        <f t="shared" si="7"/>
        <v>None</v>
      </c>
    </row>
    <row r="29" spans="1:12">
      <c r="A29" s="2"/>
      <c r="B29" s="2"/>
      <c r="D29" s="95" t="s">
        <v>79</v>
      </c>
      <c r="E29" s="96"/>
      <c r="F29" s="96"/>
      <c r="H29" s="96"/>
      <c r="I29" s="96"/>
      <c r="J29" s="96"/>
      <c r="K29" s="96"/>
      <c r="L29" s="96"/>
    </row>
    <row r="30" spans="1:12">
      <c r="A30" s="2"/>
      <c r="B30" s="2"/>
      <c r="E30" s="96"/>
      <c r="F30" s="96"/>
      <c r="H30" s="96"/>
      <c r="I30" s="96"/>
      <c r="J30" s="96"/>
      <c r="K30" s="96"/>
      <c r="L30" s="96"/>
    </row>
    <row r="31" ht="16.5" customHeight="1" spans="1:12">
      <c r="D31" s="97">
        <f>B6+D28</f>
        <v>19895.0151528969</v>
      </c>
    </row>
    <row r="32" spans="1:12">
      <c r="D32" s="95" t="s">
        <v>80</v>
      </c>
    </row>
    <row r="34" spans="1:12">
      <c r="A34" s="99" t="str">
        <f>IF(D31&gt;0,"+"," ")</f>
        <v>+</v>
      </c>
      <c r="B34" s="104">
        <f>IF(D31&gt;0,0.035%,0.07%)</f>
        <v>0.00035</v>
      </c>
      <c r="D34" s="105">
        <f>D31*(1+B34)</f>
        <v>19901.9784082004</v>
      </c>
    </row>
    <row r="35" spans="1:12">
      <c r="D35" s="106" t="s">
        <v>81</v>
      </c>
    </row>
    <row r="37" ht="20.4" spans="1:12">
      <c r="A37" s="59" t="s">
        <v>86</v>
      </c>
      <c r="B37" s="59"/>
      <c r="C37" s="59"/>
      <c r="D37" s="59"/>
      <c r="E37" s="60">
        <v>1</v>
      </c>
      <c r="F37" s="60">
        <v>2</v>
      </c>
      <c r="G37" s="60">
        <v>3</v>
      </c>
      <c r="H37" s="60">
        <v>4</v>
      </c>
      <c r="I37" s="60">
        <v>5</v>
      </c>
      <c r="J37" s="60">
        <v>6</v>
      </c>
      <c r="K37" s="60">
        <v>7</v>
      </c>
      <c r="L37" s="60">
        <v>8</v>
      </c>
    </row>
    <row r="38" ht="17.6" spans="1:12">
      <c r="A38" s="61" t="s">
        <v>55</v>
      </c>
      <c r="B38" s="61"/>
      <c r="C38" s="61"/>
      <c r="D38" s="62"/>
      <c r="E38" s="40"/>
      <c r="F38" s="23"/>
      <c r="G38" s="40"/>
      <c r="H38" s="23"/>
      <c r="I38" s="40"/>
      <c r="J38" s="23"/>
      <c r="K38" s="40"/>
      <c r="L38" s="23"/>
    </row>
    <row r="39" spans="1:12">
      <c r="A39" s="64" t="s">
        <v>57</v>
      </c>
      <c r="B39" s="64"/>
      <c r="C39" s="48"/>
      <c r="D39" s="58"/>
      <c r="E39" s="79"/>
      <c r="F39" s="80"/>
      <c r="G39" s="79"/>
      <c r="H39" s="80"/>
      <c r="I39" s="79"/>
      <c r="J39" s="80"/>
      <c r="K39" s="79"/>
      <c r="L39" s="80"/>
    </row>
    <row r="40" spans="1:12">
      <c r="A40" s="64" t="s">
        <v>64</v>
      </c>
      <c r="B40" s="64"/>
      <c r="C40" s="48"/>
      <c r="D40" s="58"/>
      <c r="E40" s="40"/>
      <c r="F40" s="23"/>
      <c r="G40" s="40"/>
      <c r="H40" s="23"/>
      <c r="I40" s="40"/>
      <c r="J40" s="23"/>
      <c r="K40" s="40"/>
      <c r="L40" s="23"/>
    </row>
    <row r="41" spans="1:12">
      <c r="A41" s="65" t="s">
        <v>71</v>
      </c>
      <c r="B41" s="66"/>
      <c r="C41" s="48"/>
      <c r="D41" s="58"/>
      <c r="E41" s="41"/>
      <c r="F41" s="81"/>
      <c r="G41" s="41"/>
      <c r="H41" s="81"/>
      <c r="I41" s="41"/>
      <c r="J41" s="81"/>
      <c r="K41" s="41"/>
      <c r="L41" s="81"/>
    </row>
    <row r="42" ht="17" spans="1:12">
      <c r="A42" s="64" t="s">
        <v>72</v>
      </c>
      <c r="B42" s="64"/>
      <c r="C42" s="48"/>
      <c r="D42" s="58"/>
      <c r="E42" s="82"/>
      <c r="F42" s="83"/>
      <c r="G42" s="82"/>
      <c r="H42" s="83"/>
      <c r="I42" s="82"/>
      <c r="J42" s="83"/>
      <c r="K42" s="82"/>
      <c r="L42" s="83"/>
    </row>
    <row r="43" ht="17" spans="1:12">
      <c r="A43" s="68" t="s">
        <v>73</v>
      </c>
      <c r="B43" s="69"/>
      <c r="C43" s="48"/>
      <c r="D43" s="58"/>
      <c r="E43" s="107"/>
      <c r="F43" s="107"/>
      <c r="G43" s="107"/>
      <c r="H43" s="107"/>
      <c r="I43" s="107"/>
      <c r="J43" s="107"/>
      <c r="K43" s="107"/>
      <c r="L43" s="107"/>
    </row>
    <row r="44" spans="1:12">
      <c r="A44" s="108" t="str">
        <f>"New Price ("&amp;TEXT($B$4,"yyyy-mm-dd")&amp;")"</f>
        <v>New Price (2026-10-30)</v>
      </c>
      <c r="B44" s="109"/>
      <c r="E44" s="86"/>
      <c r="F44" s="87"/>
      <c r="G44" s="86"/>
      <c r="H44" s="87"/>
      <c r="I44" s="86"/>
      <c r="J44" s="87"/>
      <c r="K44" s="86"/>
      <c r="L44" s="87"/>
    </row>
    <row r="45" spans="1:12">
      <c r="A45" s="81" t="str">
        <f>"New FX (exchange rate) ("&amp;TEXT($B$4,"yyyy-mm-dd")&amp;")"</f>
        <v>New FX (exchange rate) (2026-10-30)</v>
      </c>
      <c r="B45" s="85"/>
      <c r="E45" s="88"/>
      <c r="F45" s="89"/>
      <c r="G45" s="88"/>
      <c r="H45" s="89"/>
      <c r="I45" s="88"/>
      <c r="J45" s="89"/>
      <c r="K45" s="88"/>
      <c r="L45" s="89"/>
    </row>
    <row r="46" spans="1:12">
      <c r="A46" s="23" t="str">
        <f>"New Converted Price ("&amp;TEXT($B$4,"yyyy-mm-dd")&amp;")"</f>
        <v>New Converted Price (2026-10-30)</v>
      </c>
      <c r="B46" s="23"/>
      <c r="E46" s="90">
        <f t="shared" ref="E46" si="8">E45*E44</f>
        <v>0</v>
      </c>
      <c r="F46" s="90">
        <f t="shared" ref="F46" si="9">F45*F44</f>
        <v>0</v>
      </c>
      <c r="G46" s="90">
        <f t="shared" ref="G46" si="10">G45*G44</f>
        <v>0</v>
      </c>
      <c r="H46" s="90">
        <f t="shared" ref="H46:I46" si="11">H45*H44</f>
        <v>0</v>
      </c>
      <c r="I46" s="90">
        <f t="shared" si="11"/>
        <v>0</v>
      </c>
      <c r="J46" s="90">
        <f t="shared" ref="J46" si="12">J45*J44</f>
        <v>0</v>
      </c>
      <c r="K46" s="90">
        <f t="shared" ref="K46" si="13">K45*K44</f>
        <v>0</v>
      </c>
      <c r="L46" s="90">
        <f t="shared" ref="L46" si="14">L45*L44</f>
        <v>0</v>
      </c>
    </row>
    <row r="47" spans="1:12">
      <c r="A47" s="110" t="s">
        <v>87</v>
      </c>
      <c r="B47" s="111"/>
      <c r="D47" s="112">
        <f>SUM(E47:AF47)</f>
        <v>0</v>
      </c>
      <c r="E47" s="94" t="str">
        <f>IF(E38="Long",E42*E43*E46,IF(E38="Short",-E42*E43*E46,"None"))</f>
        <v>None</v>
      </c>
      <c r="F47" s="94" t="str">
        <f t="shared" ref="F47:L47" si="15">IF(F38="Long",F42*F43*F46,IF(F38="Short",-F42*F43*F46,"None"))</f>
        <v>None</v>
      </c>
      <c r="G47" s="94" t="str">
        <f t="shared" si="15"/>
        <v>None</v>
      </c>
      <c r="H47" s="94" t="str">
        <f t="shared" si="15"/>
        <v>None</v>
      </c>
      <c r="I47" s="94" t="str">
        <f t="shared" si="15"/>
        <v>None</v>
      </c>
      <c r="J47" s="94" t="str">
        <f t="shared" si="15"/>
        <v>None</v>
      </c>
      <c r="K47" s="94" t="str">
        <f t="shared" si="15"/>
        <v>None</v>
      </c>
      <c r="L47" s="94" t="str">
        <f t="shared" si="15"/>
        <v>None</v>
      </c>
    </row>
    <row r="48" spans="1:12">
      <c r="H48" s="113"/>
    </row>
    <row r="49" spans="1:8">
      <c r="A49" s="114" t="s">
        <v>88</v>
      </c>
      <c r="B49" s="115"/>
      <c r="D49" s="112">
        <f>D31+D47</f>
        <v>19895.0151528969</v>
      </c>
      <c r="F49" s="98">
        <f>D49/'09-Oct'!A6-1</f>
        <v>-0.999998010498485</v>
      </c>
      <c r="H49" s="113"/>
    </row>
    <row r="50" spans="1:8">
      <c r="F50" s="101" t="s">
        <v>89</v>
      </c>
    </row>
  </sheetData>
  <mergeCells count="39">
    <mergeCell ref="A7:B7"/>
    <mergeCell ref="A8:B8"/>
    <mergeCell ref="A9:D9"/>
    <mergeCell ref="A10:D10"/>
    <mergeCell ref="A11:B11"/>
    <mergeCell ref="A12:B12"/>
    <mergeCell ref="A13:B13"/>
    <mergeCell ref="A14:B14"/>
    <mergeCell ref="A15:B15"/>
    <mergeCell ref="A18:D18"/>
    <mergeCell ref="A19:D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37:D37"/>
    <mergeCell ref="A38:D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9:B49"/>
    <mergeCell ref="F3:F4"/>
    <mergeCell ref="H3:H4"/>
    <mergeCell ref="J1:J2"/>
    <mergeCell ref="J3:J4"/>
    <mergeCell ref="C1:I2"/>
    <mergeCell ref="A1:B2"/>
    <mergeCell ref="K1:L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L50"/>
  <sheetViews>
    <sheetView zoomScale="80" zoomScaleNormal="80" workbookViewId="0">
      <pane xSplit="2" ySplit="5" topLeftCell="C6" activePane="bottomRight" state="frozen"/>
      <selection/>
      <selection pane="topRight"/>
      <selection pane="bottomLeft"/>
      <selection pane="bottomRight" activeCell="D5" sqref="D5"/>
    </sheetView>
  </sheetViews>
  <sheetFormatPr defaultColWidth="9" defaultRowHeight="16.8"/>
  <cols>
    <col min="1" max="2" width="20.625" style="1" customWidth="1"/>
    <col min="3" max="3" width="4.875" style="1" customWidth="1"/>
    <col min="4" max="12" width="20.625" style="1" customWidth="1"/>
    <col min="13" max="16384" width="9" style="1"/>
  </cols>
  <sheetData>
    <row r="1" ht="16.5" customHeight="1" spans="1:12">
      <c r="A1" s="29" t="str">
        <f>'Risk Mgmt'!A1</f>
        <v>DBA4014</v>
      </c>
      <c r="B1" s="30"/>
      <c r="C1" s="31" t="s">
        <v>92</v>
      </c>
      <c r="D1" s="31"/>
      <c r="E1" s="31"/>
      <c r="F1" s="31"/>
      <c r="G1" s="31"/>
      <c r="H1" s="31"/>
      <c r="I1" s="31"/>
      <c r="J1" s="32" t="s">
        <v>44</v>
      </c>
      <c r="K1" s="33" t="str">
        <f>TEXT(B4,"YYYY-MM-DD")</f>
        <v>2026-11-06</v>
      </c>
      <c r="L1" s="33"/>
    </row>
    <row r="2" ht="16.5" customHeight="1" spans="1:12">
      <c r="A2" s="34"/>
      <c r="B2" s="34"/>
      <c r="C2" s="31"/>
      <c r="D2" s="31"/>
      <c r="E2" s="31"/>
      <c r="F2" s="31"/>
      <c r="G2" s="31"/>
      <c r="H2" s="31"/>
      <c r="I2" s="31"/>
      <c r="J2" s="35"/>
      <c r="K2" s="33"/>
      <c r="L2" s="33"/>
    </row>
    <row r="3" spans="1:12">
      <c r="A3" s="4" t="s">
        <v>2</v>
      </c>
      <c r="B3" s="36" t="str">
        <f>'30-Oct'!B3:B3</f>
        <v>DBA4</v>
      </c>
      <c r="C3" s="37"/>
      <c r="D3" s="38" t="s">
        <v>28</v>
      </c>
      <c r="E3" s="38" t="s">
        <v>30</v>
      </c>
      <c r="F3" s="39" t="s">
        <v>33</v>
      </c>
      <c r="G3" s="40" t="str">
        <f>'Risk Mgmt'!B27</f>
        <v>Jacob</v>
      </c>
      <c r="H3" s="39" t="s">
        <v>35</v>
      </c>
      <c r="I3" s="40" t="str">
        <f>'Risk Mgmt'!B28</f>
        <v>장단비</v>
      </c>
      <c r="J3" s="39" t="s">
        <v>38</v>
      </c>
      <c r="K3" s="41" t="str">
        <f>'Risk Mgmt'!B29</f>
        <v>채영찬</v>
      </c>
    </row>
    <row r="4" spans="1:12">
      <c r="A4" s="1" t="s">
        <v>45</v>
      </c>
      <c r="B4" s="42">
        <f>'30-Oct'!B4+7</f>
        <v>46332</v>
      </c>
      <c r="C4" s="43" t="str">
        <f>IF(WEEKDAY(B4)=1,"SUN",IF(WEEKDAY(B4)=2,"MON",IF(WEEKDAY(B4)=3,"TUE",IF(WEEKDAY(B4)=4,"WED",IF(WEEKDAY(B4)=5,"THU",IF(WEEKDAY(B4)=6,"FRI",IF(WEEKDAY(B4)=7,"SAT","-")))))))</f>
        <v>FRI</v>
      </c>
      <c r="D4" s="40" t="str">
        <f>'Risk Mgmt'!B25</f>
        <v>김경수</v>
      </c>
      <c r="E4" s="40" t="str">
        <f>'Risk Mgmt'!B26</f>
        <v>박준형</v>
      </c>
      <c r="F4" s="44"/>
      <c r="G4" s="40">
        <f>'Risk Mgmt'!C27</f>
        <v>0</v>
      </c>
      <c r="H4" s="44"/>
      <c r="I4" s="40" t="str">
        <f>'Risk Mgmt'!C28</f>
        <v>홍예나</v>
      </c>
      <c r="J4" s="44"/>
      <c r="K4" s="41">
        <f>'Risk Mgmt'!C29</f>
        <v>0</v>
      </c>
    </row>
    <row r="5" spans="1:12">
      <c r="A5" s="45" t="s">
        <v>46</v>
      </c>
      <c r="B5" s="46">
        <f>B4+3</f>
        <v>46335</v>
      </c>
      <c r="C5" s="47" t="str">
        <f>IF(WEEKDAY(B5)=1,"SUN",IF(WEEKDAY(B5)=2,"MON",IF(WEEKDAY(B5)=3,"TUE",IF(WEEKDAY(B5)=4,"WED",IF(WEEKDAY(B5)=5,"THU",IF(WEEKDAY(B5)=6,"FRI",IF(WEEKDAY(B5)=7,"SAT","-")))))))</f>
        <v>MON</v>
      </c>
      <c r="D5" s="48"/>
      <c r="E5" s="48"/>
      <c r="F5" s="48"/>
      <c r="G5" s="48"/>
      <c r="H5" s="48"/>
      <c r="I5" s="48"/>
      <c r="J5" s="48"/>
      <c r="K5" s="48"/>
      <c r="L5" s="48"/>
    </row>
    <row r="6" ht="16.5" customHeight="1" spans="1:12">
      <c r="B6" s="49">
        <f>'30-Oct'!D34</f>
        <v>19901.9784082004</v>
      </c>
      <c r="C6" s="48"/>
      <c r="D6" s="50" t="s">
        <v>47</v>
      </c>
      <c r="E6" s="51" t="s">
        <v>6</v>
      </c>
      <c r="F6" s="51" t="s">
        <v>9</v>
      </c>
      <c r="G6" s="51" t="s">
        <v>48</v>
      </c>
      <c r="H6" s="51" t="s">
        <v>49</v>
      </c>
      <c r="I6" s="52" t="s">
        <v>50</v>
      </c>
      <c r="J6" s="52" t="s">
        <v>51</v>
      </c>
      <c r="K6" s="52" t="s">
        <v>52</v>
      </c>
    </row>
    <row r="7" spans="1:12">
      <c r="A7" s="53" t="s">
        <v>53</v>
      </c>
      <c r="B7" s="53"/>
      <c r="C7" s="48"/>
      <c r="D7" s="54"/>
      <c r="E7" s="55">
        <f>'30-Oct'!E7</f>
        <v>0.1</v>
      </c>
      <c r="F7" s="55">
        <f>'30-Oct'!F7</f>
        <v>0.15</v>
      </c>
      <c r="G7" s="55">
        <f>'30-Oct'!G7</f>
        <v>0.4</v>
      </c>
      <c r="H7" s="55">
        <f>'30-Oct'!H7</f>
        <v>0.8</v>
      </c>
      <c r="I7" s="56">
        <f>'30-Oct'!I7</f>
        <v>0.1</v>
      </c>
      <c r="J7" s="56">
        <f>'30-Oct'!J7</f>
        <v>0.1</v>
      </c>
      <c r="K7" s="56">
        <f>'30-Oct'!K7</f>
        <v>0.1</v>
      </c>
    </row>
    <row r="8" spans="1:12">
      <c r="A8" s="57"/>
      <c r="B8" s="57"/>
      <c r="C8" s="48"/>
      <c r="D8" s="58"/>
      <c r="E8" s="58"/>
      <c r="F8" s="58"/>
      <c r="G8" s="58"/>
      <c r="H8" s="58"/>
      <c r="I8" s="58"/>
      <c r="J8" s="58"/>
      <c r="K8" s="58"/>
      <c r="L8" s="58"/>
    </row>
    <row r="9" ht="20.4" spans="1:12">
      <c r="A9" s="59" t="s">
        <v>83</v>
      </c>
      <c r="B9" s="59"/>
      <c r="C9" s="59"/>
      <c r="D9" s="59"/>
      <c r="E9" s="60">
        <v>1</v>
      </c>
      <c r="F9" s="60">
        <v>2</v>
      </c>
      <c r="G9" s="60">
        <v>3</v>
      </c>
      <c r="H9" s="60">
        <v>4</v>
      </c>
      <c r="I9" s="60">
        <v>5</v>
      </c>
      <c r="J9" s="60">
        <v>6</v>
      </c>
      <c r="K9" s="60">
        <v>7</v>
      </c>
      <c r="L9" s="60">
        <v>8</v>
      </c>
    </row>
    <row r="10" ht="17.6" spans="1:12">
      <c r="A10" s="61" t="s">
        <v>55</v>
      </c>
      <c r="B10" s="61"/>
      <c r="C10" s="61"/>
      <c r="D10" s="62"/>
      <c r="E10" s="63">
        <f>'30-Oct'!E38</f>
        <v>0</v>
      </c>
      <c r="F10" s="63">
        <f>'30-Oct'!F38</f>
        <v>0</v>
      </c>
      <c r="G10" s="63">
        <f>'30-Oct'!G38</f>
        <v>0</v>
      </c>
      <c r="H10" s="63">
        <f>'30-Oct'!H38</f>
        <v>0</v>
      </c>
      <c r="I10" s="63">
        <f>'30-Oct'!I38</f>
        <v>0</v>
      </c>
      <c r="J10" s="63">
        <f>'30-Oct'!J38</f>
        <v>0</v>
      </c>
      <c r="K10" s="63">
        <f>'30-Oct'!K38</f>
        <v>0</v>
      </c>
      <c r="L10" s="63">
        <f>'30-Oct'!L38</f>
        <v>0</v>
      </c>
    </row>
    <row r="11" spans="1:12">
      <c r="A11" s="64" t="s">
        <v>57</v>
      </c>
      <c r="B11" s="64"/>
      <c r="C11" s="48"/>
      <c r="D11" s="58"/>
      <c r="E11" s="63">
        <f>'30-Oct'!E39</f>
        <v>0</v>
      </c>
      <c r="F11" s="63">
        <f>'30-Oct'!F39</f>
        <v>0</v>
      </c>
      <c r="G11" s="63">
        <f>'30-Oct'!G39</f>
        <v>0</v>
      </c>
      <c r="H11" s="63">
        <f>'30-Oct'!H39</f>
        <v>0</v>
      </c>
      <c r="I11" s="63">
        <f>'30-Oct'!I39</f>
        <v>0</v>
      </c>
      <c r="J11" s="63">
        <f>'30-Oct'!J39</f>
        <v>0</v>
      </c>
      <c r="K11" s="63">
        <f>'30-Oct'!K39</f>
        <v>0</v>
      </c>
      <c r="L11" s="63">
        <f>'30-Oct'!L39</f>
        <v>0</v>
      </c>
    </row>
    <row r="12" spans="1:12">
      <c r="A12" s="64" t="s">
        <v>64</v>
      </c>
      <c r="B12" s="64"/>
      <c r="C12" s="48"/>
      <c r="D12" s="58"/>
      <c r="E12" s="63">
        <f>'30-Oct'!E40</f>
        <v>0</v>
      </c>
      <c r="F12" s="63">
        <f>'30-Oct'!F40</f>
        <v>0</v>
      </c>
      <c r="G12" s="63">
        <f>'30-Oct'!G40</f>
        <v>0</v>
      </c>
      <c r="H12" s="63">
        <f>'30-Oct'!H40</f>
        <v>0</v>
      </c>
      <c r="I12" s="63">
        <f>'30-Oct'!I40</f>
        <v>0</v>
      </c>
      <c r="J12" s="63">
        <f>'30-Oct'!J40</f>
        <v>0</v>
      </c>
      <c r="K12" s="63">
        <f>'30-Oct'!K40</f>
        <v>0</v>
      </c>
      <c r="L12" s="63">
        <f>'30-Oct'!L40</f>
        <v>0</v>
      </c>
    </row>
    <row r="13" spans="1:12">
      <c r="A13" s="65" t="s">
        <v>71</v>
      </c>
      <c r="B13" s="66"/>
      <c r="C13" s="48"/>
      <c r="D13" s="58"/>
      <c r="E13" s="63">
        <f>'30-Oct'!E41</f>
        <v>0</v>
      </c>
      <c r="F13" s="63">
        <f>'30-Oct'!F41</f>
        <v>0</v>
      </c>
      <c r="G13" s="63">
        <f>'30-Oct'!G41</f>
        <v>0</v>
      </c>
      <c r="H13" s="63">
        <f>'30-Oct'!H41</f>
        <v>0</v>
      </c>
      <c r="I13" s="63">
        <f>'30-Oct'!I41</f>
        <v>0</v>
      </c>
      <c r="J13" s="63">
        <f>'30-Oct'!J41</f>
        <v>0</v>
      </c>
      <c r="K13" s="63">
        <f>'30-Oct'!K41</f>
        <v>0</v>
      </c>
      <c r="L13" s="63">
        <f>'30-Oct'!L41</f>
        <v>0</v>
      </c>
    </row>
    <row r="14" ht="17" spans="1:12">
      <c r="A14" s="64" t="s">
        <v>72</v>
      </c>
      <c r="B14" s="64"/>
      <c r="C14" s="48"/>
      <c r="D14" s="58"/>
      <c r="E14" s="67">
        <f>'30-Oct'!E42</f>
        <v>0</v>
      </c>
      <c r="F14" s="67">
        <f>'30-Oct'!F42</f>
        <v>0</v>
      </c>
      <c r="G14" s="67">
        <f>'30-Oct'!G42</f>
        <v>0</v>
      </c>
      <c r="H14" s="67">
        <f>'30-Oct'!H42</f>
        <v>0</v>
      </c>
      <c r="I14" s="67">
        <f>'30-Oct'!I42</f>
        <v>0</v>
      </c>
      <c r="J14" s="67">
        <f>'30-Oct'!J42</f>
        <v>0</v>
      </c>
      <c r="K14" s="67">
        <f>'30-Oct'!K42</f>
        <v>0</v>
      </c>
      <c r="L14" s="67">
        <f>'30-Oct'!L42</f>
        <v>0</v>
      </c>
    </row>
    <row r="15" ht="17" spans="1:12">
      <c r="A15" s="68" t="s">
        <v>73</v>
      </c>
      <c r="B15" s="69"/>
      <c r="C15" s="48"/>
      <c r="D15" s="58"/>
      <c r="E15" s="63">
        <f>'30-Oct'!E43</f>
        <v>0</v>
      </c>
      <c r="F15" s="63">
        <f>'30-Oct'!F43</f>
        <v>0</v>
      </c>
      <c r="G15" s="63">
        <f>'30-Oct'!G43</f>
        <v>0</v>
      </c>
      <c r="H15" s="63">
        <f>'30-Oct'!H43</f>
        <v>0</v>
      </c>
      <c r="I15" s="63">
        <f>'30-Oct'!I43</f>
        <v>0</v>
      </c>
      <c r="J15" s="63">
        <f>'30-Oct'!J43</f>
        <v>0</v>
      </c>
      <c r="K15" s="63">
        <f>'30-Oct'!K43</f>
        <v>0</v>
      </c>
      <c r="L15" s="63">
        <f>'30-Oct'!L43</f>
        <v>0</v>
      </c>
    </row>
    <row r="16" spans="1:12">
      <c r="A16" s="70"/>
      <c r="B16" s="70"/>
      <c r="C16" s="48"/>
      <c r="D16" s="103"/>
      <c r="E16" s="71"/>
      <c r="F16" s="71"/>
      <c r="G16" s="71"/>
      <c r="H16" s="72"/>
      <c r="I16" s="71"/>
      <c r="J16" s="71"/>
      <c r="K16" s="71"/>
      <c r="L16" s="72"/>
    </row>
    <row r="17" spans="1:12">
      <c r="A17" s="70"/>
      <c r="B17" s="70"/>
      <c r="C17" s="48"/>
      <c r="D17" s="58"/>
      <c r="E17" s="73"/>
      <c r="F17" s="73"/>
      <c r="G17" s="74"/>
      <c r="H17" s="73"/>
      <c r="I17" s="73"/>
      <c r="J17" s="73"/>
      <c r="K17" s="74"/>
      <c r="L17" s="73"/>
    </row>
    <row r="18" ht="20.4" spans="1:12">
      <c r="A18" s="59" t="s">
        <v>84</v>
      </c>
      <c r="B18" s="59"/>
      <c r="C18" s="59"/>
      <c r="D18" s="59"/>
      <c r="E18" s="76">
        <v>1</v>
      </c>
      <c r="F18" s="60">
        <v>2</v>
      </c>
      <c r="G18" s="60">
        <v>3</v>
      </c>
      <c r="H18" s="60">
        <v>4</v>
      </c>
      <c r="I18" s="60">
        <v>5</v>
      </c>
      <c r="J18" s="60">
        <v>6</v>
      </c>
      <c r="K18" s="60">
        <v>7</v>
      </c>
      <c r="L18" s="60">
        <v>8</v>
      </c>
    </row>
    <row r="19" ht="17.6" spans="1:12">
      <c r="A19" s="77" t="s">
        <v>85</v>
      </c>
      <c r="B19" s="77"/>
      <c r="C19" s="77"/>
      <c r="D19" s="78"/>
      <c r="E19" s="40"/>
      <c r="F19" s="23"/>
      <c r="G19" s="40"/>
      <c r="H19" s="23"/>
      <c r="I19" s="40"/>
      <c r="J19" s="23"/>
      <c r="K19" s="40"/>
      <c r="L19" s="23"/>
    </row>
    <row r="20" spans="1:12">
      <c r="A20" s="64" t="s">
        <v>57</v>
      </c>
      <c r="B20" s="64"/>
      <c r="C20" s="58"/>
      <c r="D20" s="58"/>
      <c r="E20" s="79"/>
      <c r="F20" s="80"/>
      <c r="G20" s="79"/>
      <c r="H20" s="80"/>
      <c r="I20" s="79"/>
      <c r="J20" s="80"/>
      <c r="K20" s="79"/>
      <c r="L20" s="80"/>
    </row>
    <row r="21" spans="1:12">
      <c r="A21" s="64" t="s">
        <v>64</v>
      </c>
      <c r="B21" s="64"/>
      <c r="C21" s="58"/>
      <c r="D21" s="58"/>
      <c r="E21" s="40"/>
      <c r="F21" s="23"/>
      <c r="G21" s="40"/>
      <c r="H21" s="23"/>
      <c r="I21" s="40"/>
      <c r="J21" s="23"/>
      <c r="K21" s="40"/>
      <c r="L21" s="23"/>
    </row>
    <row r="22" spans="1:12">
      <c r="A22" s="65" t="s">
        <v>71</v>
      </c>
      <c r="B22" s="66"/>
      <c r="C22" s="58"/>
      <c r="D22" s="58"/>
      <c r="E22" s="41"/>
      <c r="F22" s="81"/>
      <c r="G22" s="41"/>
      <c r="H22" s="81"/>
      <c r="I22" s="41"/>
      <c r="J22" s="81"/>
      <c r="K22" s="41"/>
      <c r="L22" s="81"/>
    </row>
    <row r="23" ht="17" spans="1:12">
      <c r="A23" s="64" t="s">
        <v>72</v>
      </c>
      <c r="B23" s="64"/>
      <c r="C23" s="58"/>
      <c r="D23" s="58"/>
      <c r="E23" s="82"/>
      <c r="F23" s="83"/>
      <c r="G23" s="82"/>
      <c r="H23" s="83"/>
      <c r="I23" s="82"/>
      <c r="J23" s="83"/>
      <c r="K23" s="82"/>
      <c r="L23" s="83"/>
    </row>
    <row r="24" ht="17" spans="1:12">
      <c r="A24" s="68" t="s">
        <v>73</v>
      </c>
      <c r="B24" s="69"/>
      <c r="C24" s="58"/>
      <c r="D24" s="58"/>
      <c r="E24" s="84"/>
      <c r="F24" s="84"/>
      <c r="G24" s="84"/>
      <c r="H24" s="84"/>
      <c r="I24" s="84"/>
      <c r="J24" s="84"/>
      <c r="K24" s="84"/>
      <c r="L24" s="84"/>
    </row>
    <row r="25" spans="1:12">
      <c r="A25" s="81" t="str">
        <f>"New Price ("&amp;TEXT($B$4,"yyyy-mm-dd")&amp;")"</f>
        <v>New Price (2026-11-06)</v>
      </c>
      <c r="B25" s="85"/>
      <c r="C25" s="58"/>
      <c r="D25" s="58"/>
      <c r="E25" s="86"/>
      <c r="F25" s="87"/>
      <c r="G25" s="86"/>
      <c r="H25" s="87"/>
      <c r="I25" s="86"/>
      <c r="J25" s="87"/>
      <c r="K25" s="86"/>
      <c r="L25" s="87"/>
    </row>
    <row r="26" spans="1:12">
      <c r="A26" s="81" t="str">
        <f>"New FX (exchange rate) ("&amp;TEXT($B$4,"yyyy-mm-dd")&amp;")"</f>
        <v>New FX (exchange rate) (2026-11-06)</v>
      </c>
      <c r="B26" s="85"/>
      <c r="C26" s="58"/>
      <c r="D26" s="58"/>
      <c r="E26" s="88"/>
      <c r="F26" s="89"/>
      <c r="G26" s="88"/>
      <c r="H26" s="89"/>
      <c r="I26" s="88"/>
      <c r="J26" s="89"/>
      <c r="K26" s="88"/>
      <c r="L26" s="89"/>
    </row>
    <row r="27" spans="1:12">
      <c r="A27" s="23" t="str">
        <f>"New Converted Price ("&amp;TEXT($B$4,"yyyy-mm-dd")&amp;")"</f>
        <v>New Converted Price (2026-11-06)</v>
      </c>
      <c r="B27" s="23"/>
      <c r="C27" s="58"/>
      <c r="D27" s="58"/>
      <c r="E27" s="90">
        <f t="shared" ref="E27" si="0">E26*E25</f>
        <v>0</v>
      </c>
      <c r="F27" s="90">
        <f t="shared" ref="F27" si="1">F26*F25</f>
        <v>0</v>
      </c>
      <c r="G27" s="90">
        <f t="shared" ref="G27:H27" si="2">G26*G25</f>
        <v>0</v>
      </c>
      <c r="H27" s="90">
        <f t="shared" si="2"/>
        <v>0</v>
      </c>
      <c r="I27" s="90">
        <f t="shared" ref="I27" si="3">I26*I25</f>
        <v>0</v>
      </c>
      <c r="J27" s="90">
        <f t="shared" ref="J27" si="4">J26*J25</f>
        <v>0</v>
      </c>
      <c r="K27" s="90">
        <f t="shared" ref="K27" si="5">K26*K25</f>
        <v>0</v>
      </c>
      <c r="L27" s="90">
        <f t="shared" ref="L27" si="6">L26*L25</f>
        <v>0</v>
      </c>
    </row>
    <row r="28" ht="16.5" customHeight="1" spans="1:12">
      <c r="A28" s="91" t="s">
        <v>78</v>
      </c>
      <c r="B28" s="92"/>
      <c r="C28" s="58"/>
      <c r="D28" s="93">
        <f>SUM(E28:AF28)</f>
        <v>0</v>
      </c>
      <c r="E28" s="94" t="str">
        <f>IF(E19="Buy",-E23*E24*E27,IF(E19="Sell",+E23*E24*E27,"None"))</f>
        <v>None</v>
      </c>
      <c r="F28" s="94" t="str">
        <f t="shared" ref="F28:L28" si="7">IF(F19="Buy",-F23*F24*F27,IF(F19="Sell",+F23*F24*F27,"None"))</f>
        <v>None</v>
      </c>
      <c r="G28" s="94" t="str">
        <f t="shared" si="7"/>
        <v>None</v>
      </c>
      <c r="H28" s="94" t="str">
        <f t="shared" si="7"/>
        <v>None</v>
      </c>
      <c r="I28" s="94" t="str">
        <f t="shared" si="7"/>
        <v>None</v>
      </c>
      <c r="J28" s="94" t="str">
        <f t="shared" si="7"/>
        <v>None</v>
      </c>
      <c r="K28" s="94" t="str">
        <f t="shared" si="7"/>
        <v>None</v>
      </c>
      <c r="L28" s="94" t="str">
        <f t="shared" si="7"/>
        <v>None</v>
      </c>
    </row>
    <row r="29" spans="1:12">
      <c r="A29" s="2"/>
      <c r="B29" s="2"/>
      <c r="D29" s="95" t="s">
        <v>79</v>
      </c>
      <c r="E29" s="96"/>
      <c r="F29" s="96"/>
      <c r="H29" s="96"/>
      <c r="I29" s="96"/>
      <c r="J29" s="96"/>
      <c r="K29" s="96"/>
      <c r="L29" s="96"/>
    </row>
    <row r="30" spans="1:12">
      <c r="A30" s="2"/>
      <c r="B30" s="2"/>
      <c r="E30" s="96"/>
      <c r="F30" s="96"/>
      <c r="H30" s="96"/>
      <c r="I30" s="96"/>
      <c r="J30" s="96"/>
      <c r="K30" s="96"/>
      <c r="L30" s="96"/>
    </row>
    <row r="31" ht="16.5" customHeight="1" spans="1:12">
      <c r="D31" s="97">
        <f>B6+D28</f>
        <v>19901.9784082004</v>
      </c>
    </row>
    <row r="32" spans="1:12">
      <c r="D32" s="95" t="s">
        <v>80</v>
      </c>
    </row>
    <row r="34" spans="1:12">
      <c r="A34" s="99" t="str">
        <f>IF(D31&gt;0,"+"," ")</f>
        <v>+</v>
      </c>
      <c r="B34" s="104">
        <f>IF(D31&gt;0,0.035%,0.07%)</f>
        <v>0.00035</v>
      </c>
      <c r="D34" s="105">
        <f>D31*(1+B34)</f>
        <v>19908.9441006433</v>
      </c>
    </row>
    <row r="35" spans="1:12">
      <c r="D35" s="106" t="s">
        <v>81</v>
      </c>
    </row>
    <row r="37" ht="20.4" spans="1:12">
      <c r="A37" s="59" t="s">
        <v>86</v>
      </c>
      <c r="B37" s="59"/>
      <c r="C37" s="59"/>
      <c r="D37" s="59"/>
      <c r="E37" s="60">
        <v>1</v>
      </c>
      <c r="F37" s="60">
        <v>2</v>
      </c>
      <c r="G37" s="60">
        <v>3</v>
      </c>
      <c r="H37" s="60">
        <v>4</v>
      </c>
      <c r="I37" s="60">
        <v>5</v>
      </c>
      <c r="J37" s="60">
        <v>6</v>
      </c>
      <c r="K37" s="60">
        <v>7</v>
      </c>
      <c r="L37" s="60">
        <v>8</v>
      </c>
    </row>
    <row r="38" ht="17.6" spans="1:12">
      <c r="A38" s="61" t="s">
        <v>55</v>
      </c>
      <c r="B38" s="61"/>
      <c r="C38" s="61"/>
      <c r="D38" s="62"/>
      <c r="E38" s="40"/>
      <c r="F38" s="23"/>
      <c r="G38" s="40"/>
      <c r="H38" s="23"/>
      <c r="I38" s="40"/>
      <c r="J38" s="23"/>
      <c r="K38" s="40"/>
      <c r="L38" s="23"/>
    </row>
    <row r="39" spans="1:12">
      <c r="A39" s="64" t="s">
        <v>57</v>
      </c>
      <c r="B39" s="64"/>
      <c r="C39" s="48"/>
      <c r="D39" s="58"/>
      <c r="E39" s="79"/>
      <c r="F39" s="80"/>
      <c r="G39" s="79"/>
      <c r="H39" s="80"/>
      <c r="I39" s="79"/>
      <c r="J39" s="80"/>
      <c r="K39" s="79"/>
      <c r="L39" s="80"/>
    </row>
    <row r="40" spans="1:12">
      <c r="A40" s="64" t="s">
        <v>64</v>
      </c>
      <c r="B40" s="64"/>
      <c r="C40" s="48"/>
      <c r="D40" s="58"/>
      <c r="E40" s="40"/>
      <c r="F40" s="23"/>
      <c r="G40" s="40"/>
      <c r="H40" s="23"/>
      <c r="I40" s="40"/>
      <c r="J40" s="23"/>
      <c r="K40" s="40"/>
      <c r="L40" s="23"/>
    </row>
    <row r="41" spans="1:12">
      <c r="A41" s="65" t="s">
        <v>71</v>
      </c>
      <c r="B41" s="66"/>
      <c r="C41" s="48"/>
      <c r="D41" s="58"/>
      <c r="E41" s="41"/>
      <c r="F41" s="81"/>
      <c r="G41" s="41"/>
      <c r="H41" s="81"/>
      <c r="I41" s="41"/>
      <c r="J41" s="81"/>
      <c r="K41" s="41"/>
      <c r="L41" s="81"/>
    </row>
    <row r="42" ht="17" spans="1:12">
      <c r="A42" s="64" t="s">
        <v>72</v>
      </c>
      <c r="B42" s="64"/>
      <c r="C42" s="48"/>
      <c r="D42" s="58"/>
      <c r="E42" s="82"/>
      <c r="F42" s="83"/>
      <c r="G42" s="82"/>
      <c r="H42" s="83"/>
      <c r="I42" s="82"/>
      <c r="J42" s="83"/>
      <c r="K42" s="82"/>
      <c r="L42" s="83"/>
    </row>
    <row r="43" ht="17" spans="1:12">
      <c r="A43" s="68" t="s">
        <v>73</v>
      </c>
      <c r="B43" s="69"/>
      <c r="C43" s="48"/>
      <c r="D43" s="58"/>
      <c r="E43" s="107"/>
      <c r="F43" s="107"/>
      <c r="G43" s="107"/>
      <c r="H43" s="107"/>
      <c r="I43" s="107"/>
      <c r="J43" s="107"/>
      <c r="K43" s="107"/>
      <c r="L43" s="107"/>
    </row>
    <row r="44" spans="1:12">
      <c r="A44" s="108" t="str">
        <f>"New Price ("&amp;TEXT($B$4,"yyyy-mm-dd")&amp;")"</f>
        <v>New Price (2026-11-06)</v>
      </c>
      <c r="B44" s="109"/>
      <c r="E44" s="86"/>
      <c r="F44" s="87"/>
      <c r="G44" s="86"/>
      <c r="H44" s="87"/>
      <c r="I44" s="86"/>
      <c r="J44" s="87"/>
      <c r="K44" s="86"/>
      <c r="L44" s="87"/>
    </row>
    <row r="45" spans="1:12">
      <c r="A45" s="81" t="str">
        <f>"New FX (exchange rate) ("&amp;TEXT($B$4,"yyyy-mm-dd")&amp;")"</f>
        <v>New FX (exchange rate) (2026-11-06)</v>
      </c>
      <c r="B45" s="85"/>
      <c r="E45" s="88"/>
      <c r="F45" s="89"/>
      <c r="G45" s="88"/>
      <c r="H45" s="89"/>
      <c r="I45" s="88"/>
      <c r="J45" s="89"/>
      <c r="K45" s="88"/>
      <c r="L45" s="89"/>
    </row>
    <row r="46" spans="1:12">
      <c r="A46" s="23" t="str">
        <f>"New Converted Price ("&amp;TEXT($B$4,"yyyy-mm-dd")&amp;")"</f>
        <v>New Converted Price (2026-11-06)</v>
      </c>
      <c r="B46" s="23"/>
      <c r="E46" s="90">
        <f t="shared" ref="E46" si="8">E45*E44</f>
        <v>0</v>
      </c>
      <c r="F46" s="90">
        <f t="shared" ref="F46" si="9">F45*F44</f>
        <v>0</v>
      </c>
      <c r="G46" s="90">
        <f t="shared" ref="G46" si="10">G45*G44</f>
        <v>0</v>
      </c>
      <c r="H46" s="90">
        <f t="shared" ref="H46:I46" si="11">H45*H44</f>
        <v>0</v>
      </c>
      <c r="I46" s="90">
        <f t="shared" si="11"/>
        <v>0</v>
      </c>
      <c r="J46" s="90">
        <f t="shared" ref="J46" si="12">J45*J44</f>
        <v>0</v>
      </c>
      <c r="K46" s="90">
        <f t="shared" ref="K46" si="13">K45*K44</f>
        <v>0</v>
      </c>
      <c r="L46" s="90">
        <f t="shared" ref="L46" si="14">L45*L44</f>
        <v>0</v>
      </c>
    </row>
    <row r="47" spans="1:12">
      <c r="A47" s="110" t="s">
        <v>87</v>
      </c>
      <c r="B47" s="111"/>
      <c r="D47" s="112">
        <f>SUM(E47:AF47)</f>
        <v>0</v>
      </c>
      <c r="E47" s="94" t="str">
        <f>IF(E38="Long",E42*E43*E46,IF(E38="Short",-E42*E43*E46,"None"))</f>
        <v>None</v>
      </c>
      <c r="F47" s="94" t="str">
        <f t="shared" ref="F47:L47" si="15">IF(F38="Long",F42*F43*F46,IF(F38="Short",-F42*F43*F46,"None"))</f>
        <v>None</v>
      </c>
      <c r="G47" s="94" t="str">
        <f t="shared" si="15"/>
        <v>None</v>
      </c>
      <c r="H47" s="94" t="str">
        <f t="shared" si="15"/>
        <v>None</v>
      </c>
      <c r="I47" s="94" t="str">
        <f t="shared" si="15"/>
        <v>None</v>
      </c>
      <c r="J47" s="94" t="str">
        <f t="shared" si="15"/>
        <v>None</v>
      </c>
      <c r="K47" s="94" t="str">
        <f t="shared" si="15"/>
        <v>None</v>
      </c>
      <c r="L47" s="94" t="str">
        <f t="shared" si="15"/>
        <v>None</v>
      </c>
    </row>
    <row r="48" spans="1:12">
      <c r="H48" s="113"/>
    </row>
    <row r="49" spans="1:8">
      <c r="A49" s="114" t="s">
        <v>88</v>
      </c>
      <c r="B49" s="115"/>
      <c r="D49" s="112">
        <f>D31+D47</f>
        <v>19901.9784082004</v>
      </c>
      <c r="F49" s="98">
        <f>D49/'09-Oct'!A6-1</f>
        <v>-0.999998009802159</v>
      </c>
      <c r="H49" s="113"/>
    </row>
    <row r="50" spans="1:8">
      <c r="F50" s="101" t="s">
        <v>89</v>
      </c>
    </row>
  </sheetData>
  <mergeCells count="39">
    <mergeCell ref="A7:B7"/>
    <mergeCell ref="A8:B8"/>
    <mergeCell ref="A9:D9"/>
    <mergeCell ref="A10:D10"/>
    <mergeCell ref="A11:B11"/>
    <mergeCell ref="A12:B12"/>
    <mergeCell ref="A13:B13"/>
    <mergeCell ref="A14:B14"/>
    <mergeCell ref="A15:B15"/>
    <mergeCell ref="A18:D18"/>
    <mergeCell ref="A19:D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37:D37"/>
    <mergeCell ref="A38:D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9:B49"/>
    <mergeCell ref="F3:F4"/>
    <mergeCell ref="H3:H4"/>
    <mergeCell ref="J1:J2"/>
    <mergeCell ref="J3:J4"/>
    <mergeCell ref="C1:I2"/>
    <mergeCell ref="A1:B2"/>
    <mergeCell ref="K1:L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L50"/>
  <sheetViews>
    <sheetView zoomScale="80" zoomScaleNormal="80" workbookViewId="0">
      <selection activeCell="D5" sqref="D5"/>
    </sheetView>
  </sheetViews>
  <sheetFormatPr defaultColWidth="9" defaultRowHeight="16.8"/>
  <cols>
    <col min="1" max="2" width="20.625" style="1" customWidth="1"/>
    <col min="3" max="3" width="4.875" style="1" customWidth="1"/>
    <col min="4" max="12" width="20.625" style="1" customWidth="1"/>
    <col min="13" max="16384" width="9" style="1"/>
  </cols>
  <sheetData>
    <row r="1" ht="16.5" customHeight="1" spans="1:12">
      <c r="A1" s="29" t="str">
        <f>'Risk Mgmt'!A1</f>
        <v>DBA4014</v>
      </c>
      <c r="B1" s="30"/>
      <c r="C1" s="31" t="s">
        <v>93</v>
      </c>
      <c r="D1" s="31"/>
      <c r="E1" s="31"/>
      <c r="F1" s="31"/>
      <c r="G1" s="31"/>
      <c r="H1" s="31"/>
      <c r="I1" s="31"/>
      <c r="J1" s="32" t="s">
        <v>44</v>
      </c>
      <c r="K1" s="33" t="str">
        <f>TEXT(B4,"YYYY-MM-DD")</f>
        <v>2026-11-13</v>
      </c>
      <c r="L1" s="33"/>
    </row>
    <row r="2" ht="16.5" customHeight="1" spans="1:12">
      <c r="A2" s="34"/>
      <c r="B2" s="34"/>
      <c r="C2" s="31"/>
      <c r="D2" s="31"/>
      <c r="E2" s="31"/>
      <c r="F2" s="31"/>
      <c r="G2" s="31"/>
      <c r="H2" s="31"/>
      <c r="I2" s="31"/>
      <c r="J2" s="35"/>
      <c r="K2" s="33"/>
      <c r="L2" s="33"/>
    </row>
    <row r="3" spans="1:12">
      <c r="A3" s="4" t="s">
        <v>2</v>
      </c>
      <c r="B3" s="36" t="str">
        <f>'30-Oct'!B3:B3</f>
        <v>DBA4</v>
      </c>
      <c r="C3" s="37"/>
      <c r="D3" s="38" t="s">
        <v>28</v>
      </c>
      <c r="E3" s="38" t="s">
        <v>30</v>
      </c>
      <c r="F3" s="39" t="s">
        <v>33</v>
      </c>
      <c r="G3" s="40" t="str">
        <f>'Risk Mgmt'!B27</f>
        <v>Jacob</v>
      </c>
      <c r="H3" s="39" t="s">
        <v>35</v>
      </c>
      <c r="I3" s="40" t="str">
        <f>'Risk Mgmt'!B28</f>
        <v>장단비</v>
      </c>
      <c r="J3" s="39" t="s">
        <v>38</v>
      </c>
      <c r="K3" s="41" t="str">
        <f>'Risk Mgmt'!B29</f>
        <v>채영찬</v>
      </c>
    </row>
    <row r="4" spans="1:12">
      <c r="A4" s="1" t="s">
        <v>45</v>
      </c>
      <c r="B4" s="42">
        <f>'06-Nov'!B4+7</f>
        <v>46339</v>
      </c>
      <c r="C4" s="43" t="str">
        <f>IF(WEEKDAY(B4)=1,"SUN",IF(WEEKDAY(B4)=2,"MON",IF(WEEKDAY(B4)=3,"TUE",IF(WEEKDAY(B4)=4,"WED",IF(WEEKDAY(B4)=5,"THU",IF(WEEKDAY(B4)=6,"FRI",IF(WEEKDAY(B4)=7,"SAT","-")))))))</f>
        <v>FRI</v>
      </c>
      <c r="D4" s="40" t="str">
        <f>'Risk Mgmt'!B25</f>
        <v>김경수</v>
      </c>
      <c r="E4" s="40" t="str">
        <f>'Risk Mgmt'!B26</f>
        <v>박준형</v>
      </c>
      <c r="F4" s="44"/>
      <c r="G4" s="40">
        <f>'Risk Mgmt'!C27</f>
        <v>0</v>
      </c>
      <c r="H4" s="44"/>
      <c r="I4" s="40" t="str">
        <f>'Risk Mgmt'!C28</f>
        <v>홍예나</v>
      </c>
      <c r="J4" s="44"/>
      <c r="K4" s="41">
        <f>'Risk Mgmt'!C29</f>
        <v>0</v>
      </c>
    </row>
    <row r="5" spans="1:12">
      <c r="A5" s="45" t="s">
        <v>46</v>
      </c>
      <c r="B5" s="46">
        <f>B4+3</f>
        <v>46342</v>
      </c>
      <c r="C5" s="47" t="str">
        <f>IF(WEEKDAY(B5)=1,"SUN",IF(WEEKDAY(B5)=2,"MON",IF(WEEKDAY(B5)=3,"TUE",IF(WEEKDAY(B5)=4,"WED",IF(WEEKDAY(B5)=5,"THU",IF(WEEKDAY(B5)=6,"FRI",IF(WEEKDAY(B5)=7,"SAT","-")))))))</f>
        <v>MON</v>
      </c>
      <c r="D5" s="48"/>
      <c r="E5" s="48"/>
      <c r="F5" s="48"/>
      <c r="G5" s="48"/>
      <c r="H5" s="48"/>
      <c r="I5" s="48"/>
      <c r="J5" s="48"/>
      <c r="K5" s="48"/>
      <c r="L5" s="48"/>
    </row>
    <row r="6" ht="16.5" customHeight="1" spans="1:12">
      <c r="B6" s="49">
        <f>'06-Nov'!D34</f>
        <v>19908.9441006433</v>
      </c>
      <c r="C6" s="48"/>
      <c r="D6" s="50" t="s">
        <v>47</v>
      </c>
      <c r="E6" s="51" t="s">
        <v>6</v>
      </c>
      <c r="F6" s="51" t="s">
        <v>9</v>
      </c>
      <c r="G6" s="51" t="s">
        <v>48</v>
      </c>
      <c r="H6" s="51" t="s">
        <v>49</v>
      </c>
      <c r="I6" s="52" t="s">
        <v>50</v>
      </c>
      <c r="J6" s="52" t="s">
        <v>51</v>
      </c>
      <c r="K6" s="52" t="s">
        <v>52</v>
      </c>
    </row>
    <row r="7" spans="1:12">
      <c r="A7" s="53" t="s">
        <v>53</v>
      </c>
      <c r="B7" s="53"/>
      <c r="C7" s="48"/>
      <c r="D7" s="54"/>
      <c r="E7" s="55">
        <f>'06-Nov'!E7</f>
        <v>0.1</v>
      </c>
      <c r="F7" s="55">
        <f>'06-Nov'!F7</f>
        <v>0.15</v>
      </c>
      <c r="G7" s="55">
        <f>'06-Nov'!G7</f>
        <v>0.4</v>
      </c>
      <c r="H7" s="55">
        <f>'06-Nov'!H7</f>
        <v>0.8</v>
      </c>
      <c r="I7" s="56">
        <f>'06-Nov'!I7</f>
        <v>0.1</v>
      </c>
      <c r="J7" s="56">
        <f>'06-Nov'!J7</f>
        <v>0.1</v>
      </c>
      <c r="K7" s="56">
        <f>'06-Nov'!K7</f>
        <v>0.1</v>
      </c>
    </row>
    <row r="8" spans="1:12">
      <c r="A8" s="57"/>
      <c r="B8" s="57"/>
      <c r="C8" s="48"/>
      <c r="D8" s="58"/>
      <c r="E8" s="58"/>
      <c r="F8" s="58"/>
      <c r="G8" s="58"/>
      <c r="H8" s="58"/>
      <c r="I8" s="58"/>
      <c r="J8" s="58"/>
      <c r="K8" s="58"/>
      <c r="L8" s="58"/>
    </row>
    <row r="9" ht="20.4" spans="1:12">
      <c r="A9" s="59" t="s">
        <v>83</v>
      </c>
      <c r="B9" s="59"/>
      <c r="C9" s="59"/>
      <c r="D9" s="59"/>
      <c r="E9" s="60">
        <v>1</v>
      </c>
      <c r="F9" s="60">
        <v>2</v>
      </c>
      <c r="G9" s="60">
        <v>3</v>
      </c>
      <c r="H9" s="60">
        <v>4</v>
      </c>
      <c r="I9" s="60">
        <v>5</v>
      </c>
      <c r="J9" s="60">
        <v>6</v>
      </c>
      <c r="K9" s="60">
        <v>7</v>
      </c>
      <c r="L9" s="60">
        <v>8</v>
      </c>
    </row>
    <row r="10" ht="17.6" spans="1:12">
      <c r="A10" s="61" t="s">
        <v>55</v>
      </c>
      <c r="B10" s="61"/>
      <c r="C10" s="61"/>
      <c r="D10" s="62"/>
      <c r="E10" s="63">
        <f>'06-Nov'!E38</f>
        <v>0</v>
      </c>
      <c r="F10" s="63">
        <f>'06-Nov'!F38</f>
        <v>0</v>
      </c>
      <c r="G10" s="63">
        <f>'06-Nov'!G38</f>
        <v>0</v>
      </c>
      <c r="H10" s="63">
        <f>'06-Nov'!H38</f>
        <v>0</v>
      </c>
      <c r="I10" s="63">
        <f>'06-Nov'!I38</f>
        <v>0</v>
      </c>
      <c r="J10" s="63">
        <f>'06-Nov'!J38</f>
        <v>0</v>
      </c>
      <c r="K10" s="63">
        <f>'06-Nov'!K38</f>
        <v>0</v>
      </c>
      <c r="L10" s="63">
        <f>'06-Nov'!L38</f>
        <v>0</v>
      </c>
    </row>
    <row r="11" spans="1:12">
      <c r="A11" s="64" t="s">
        <v>57</v>
      </c>
      <c r="B11" s="64"/>
      <c r="C11" s="48"/>
      <c r="D11" s="58"/>
      <c r="E11" s="63">
        <f>'06-Nov'!E39</f>
        <v>0</v>
      </c>
      <c r="F11" s="63">
        <f>'06-Nov'!F39</f>
        <v>0</v>
      </c>
      <c r="G11" s="63">
        <f>'06-Nov'!G39</f>
        <v>0</v>
      </c>
      <c r="H11" s="63">
        <f>'06-Nov'!H39</f>
        <v>0</v>
      </c>
      <c r="I11" s="63">
        <f>'06-Nov'!I39</f>
        <v>0</v>
      </c>
      <c r="J11" s="63">
        <f>'06-Nov'!J39</f>
        <v>0</v>
      </c>
      <c r="K11" s="63">
        <f>'06-Nov'!K39</f>
        <v>0</v>
      </c>
      <c r="L11" s="63">
        <f>'06-Nov'!L39</f>
        <v>0</v>
      </c>
    </row>
    <row r="12" spans="1:12">
      <c r="A12" s="64" t="s">
        <v>64</v>
      </c>
      <c r="B12" s="64"/>
      <c r="C12" s="48"/>
      <c r="D12" s="58"/>
      <c r="E12" s="63">
        <f>'06-Nov'!E40</f>
        <v>0</v>
      </c>
      <c r="F12" s="63">
        <f>'06-Nov'!F40</f>
        <v>0</v>
      </c>
      <c r="G12" s="63">
        <f>'06-Nov'!G40</f>
        <v>0</v>
      </c>
      <c r="H12" s="63">
        <f>'06-Nov'!H40</f>
        <v>0</v>
      </c>
      <c r="I12" s="63">
        <f>'06-Nov'!I40</f>
        <v>0</v>
      </c>
      <c r="J12" s="63">
        <f>'06-Nov'!J40</f>
        <v>0</v>
      </c>
      <c r="K12" s="63">
        <f>'06-Nov'!K40</f>
        <v>0</v>
      </c>
      <c r="L12" s="63">
        <f>'06-Nov'!L40</f>
        <v>0</v>
      </c>
    </row>
    <row r="13" spans="1:12">
      <c r="A13" s="65" t="s">
        <v>71</v>
      </c>
      <c r="B13" s="66"/>
      <c r="C13" s="48"/>
      <c r="D13" s="58"/>
      <c r="E13" s="63">
        <f>'06-Nov'!E41</f>
        <v>0</v>
      </c>
      <c r="F13" s="63">
        <f>'06-Nov'!F41</f>
        <v>0</v>
      </c>
      <c r="G13" s="63">
        <f>'06-Nov'!G41</f>
        <v>0</v>
      </c>
      <c r="H13" s="63">
        <f>'06-Nov'!H41</f>
        <v>0</v>
      </c>
      <c r="I13" s="63">
        <f>'06-Nov'!I41</f>
        <v>0</v>
      </c>
      <c r="J13" s="63">
        <f>'06-Nov'!J41</f>
        <v>0</v>
      </c>
      <c r="K13" s="63">
        <f>'06-Nov'!K41</f>
        <v>0</v>
      </c>
      <c r="L13" s="63">
        <f>'06-Nov'!L41</f>
        <v>0</v>
      </c>
    </row>
    <row r="14" ht="17" spans="1:12">
      <c r="A14" s="64" t="s">
        <v>72</v>
      </c>
      <c r="B14" s="64"/>
      <c r="C14" s="48"/>
      <c r="D14" s="58"/>
      <c r="E14" s="67">
        <f>'06-Nov'!E42</f>
        <v>0</v>
      </c>
      <c r="F14" s="67">
        <f>'06-Nov'!F42</f>
        <v>0</v>
      </c>
      <c r="G14" s="67">
        <f>'06-Nov'!G42</f>
        <v>0</v>
      </c>
      <c r="H14" s="67">
        <f>'06-Nov'!H42</f>
        <v>0</v>
      </c>
      <c r="I14" s="67">
        <f>'06-Nov'!I42</f>
        <v>0</v>
      </c>
      <c r="J14" s="67">
        <f>'06-Nov'!J42</f>
        <v>0</v>
      </c>
      <c r="K14" s="67">
        <f>'06-Nov'!K42</f>
        <v>0</v>
      </c>
      <c r="L14" s="67">
        <f>'06-Nov'!L42</f>
        <v>0</v>
      </c>
    </row>
    <row r="15" ht="17" spans="1:12">
      <c r="A15" s="68" t="s">
        <v>73</v>
      </c>
      <c r="B15" s="69"/>
      <c r="C15" s="48"/>
      <c r="D15" s="58"/>
      <c r="E15" s="63">
        <f>'06-Nov'!E43</f>
        <v>0</v>
      </c>
      <c r="F15" s="63">
        <f>'06-Nov'!F43</f>
        <v>0</v>
      </c>
      <c r="G15" s="63">
        <f>'06-Nov'!G43</f>
        <v>0</v>
      </c>
      <c r="H15" s="63">
        <f>'06-Nov'!H43</f>
        <v>0</v>
      </c>
      <c r="I15" s="63">
        <f>'06-Nov'!I43</f>
        <v>0</v>
      </c>
      <c r="J15" s="63">
        <f>'06-Nov'!J43</f>
        <v>0</v>
      </c>
      <c r="K15" s="63">
        <f>'06-Nov'!K43</f>
        <v>0</v>
      </c>
      <c r="L15" s="63">
        <f>'06-Nov'!L43</f>
        <v>0</v>
      </c>
    </row>
    <row r="16" spans="1:12">
      <c r="A16" s="70"/>
      <c r="B16" s="70"/>
      <c r="C16" s="48"/>
      <c r="D16" s="103"/>
      <c r="E16" s="71"/>
      <c r="F16" s="71"/>
      <c r="G16" s="71"/>
      <c r="H16" s="72"/>
      <c r="I16" s="71"/>
      <c r="J16" s="71"/>
      <c r="K16" s="71"/>
      <c r="L16" s="72"/>
    </row>
    <row r="17" spans="1:12">
      <c r="A17" s="70"/>
      <c r="B17" s="70"/>
      <c r="C17" s="48"/>
      <c r="D17" s="58"/>
      <c r="E17" s="73"/>
      <c r="F17" s="73"/>
      <c r="G17" s="74"/>
      <c r="H17" s="73"/>
      <c r="I17" s="73"/>
      <c r="J17" s="73"/>
      <c r="K17" s="74"/>
      <c r="L17" s="73"/>
    </row>
    <row r="18" ht="20.4" spans="1:12">
      <c r="A18" s="59" t="s">
        <v>84</v>
      </c>
      <c r="B18" s="59"/>
      <c r="C18" s="59"/>
      <c r="D18" s="59"/>
      <c r="E18" s="76">
        <v>1</v>
      </c>
      <c r="F18" s="60">
        <v>2</v>
      </c>
      <c r="G18" s="60">
        <v>3</v>
      </c>
      <c r="H18" s="60">
        <v>4</v>
      </c>
      <c r="I18" s="60">
        <v>5</v>
      </c>
      <c r="J18" s="60">
        <v>6</v>
      </c>
      <c r="K18" s="60">
        <v>7</v>
      </c>
      <c r="L18" s="60">
        <v>8</v>
      </c>
    </row>
    <row r="19" ht="17.6" spans="1:12">
      <c r="A19" s="77" t="s">
        <v>85</v>
      </c>
      <c r="B19" s="77"/>
      <c r="C19" s="77"/>
      <c r="D19" s="78"/>
      <c r="E19" s="40"/>
      <c r="F19" s="23"/>
      <c r="G19" s="40"/>
      <c r="H19" s="23"/>
      <c r="I19" s="40"/>
      <c r="J19" s="23"/>
      <c r="K19" s="40"/>
      <c r="L19" s="23"/>
    </row>
    <row r="20" spans="1:12">
      <c r="A20" s="64" t="s">
        <v>57</v>
      </c>
      <c r="B20" s="64"/>
      <c r="C20" s="58"/>
      <c r="D20" s="58"/>
      <c r="E20" s="79"/>
      <c r="F20" s="80"/>
      <c r="G20" s="79"/>
      <c r="H20" s="80"/>
      <c r="I20" s="79"/>
      <c r="J20" s="80"/>
      <c r="K20" s="79"/>
      <c r="L20" s="80"/>
    </row>
    <row r="21" spans="1:12">
      <c r="A21" s="64" t="s">
        <v>64</v>
      </c>
      <c r="B21" s="64"/>
      <c r="C21" s="58"/>
      <c r="D21" s="58"/>
      <c r="E21" s="40"/>
      <c r="F21" s="23"/>
      <c r="G21" s="40"/>
      <c r="H21" s="23"/>
      <c r="I21" s="40"/>
      <c r="J21" s="23"/>
      <c r="K21" s="40"/>
      <c r="L21" s="23"/>
    </row>
    <row r="22" spans="1:12">
      <c r="A22" s="65" t="s">
        <v>71</v>
      </c>
      <c r="B22" s="66"/>
      <c r="C22" s="58"/>
      <c r="D22" s="58"/>
      <c r="E22" s="41"/>
      <c r="F22" s="81"/>
      <c r="G22" s="41"/>
      <c r="H22" s="81"/>
      <c r="I22" s="41"/>
      <c r="J22" s="81"/>
      <c r="K22" s="41"/>
      <c r="L22" s="81"/>
    </row>
    <row r="23" ht="17" spans="1:12">
      <c r="A23" s="64" t="s">
        <v>72</v>
      </c>
      <c r="B23" s="64"/>
      <c r="C23" s="58"/>
      <c r="D23" s="58"/>
      <c r="E23" s="82"/>
      <c r="F23" s="83"/>
      <c r="G23" s="82"/>
      <c r="H23" s="83"/>
      <c r="I23" s="82"/>
      <c r="J23" s="83"/>
      <c r="K23" s="82"/>
      <c r="L23" s="83"/>
    </row>
    <row r="24" ht="17" spans="1:12">
      <c r="A24" s="68" t="s">
        <v>73</v>
      </c>
      <c r="B24" s="69"/>
      <c r="C24" s="58"/>
      <c r="D24" s="58"/>
      <c r="E24" s="84"/>
      <c r="F24" s="84"/>
      <c r="G24" s="84"/>
      <c r="H24" s="84"/>
      <c r="I24" s="84"/>
      <c r="J24" s="84"/>
      <c r="K24" s="84"/>
      <c r="L24" s="84"/>
    </row>
    <row r="25" spans="1:12">
      <c r="A25" s="81" t="str">
        <f>"New Price ("&amp;TEXT($B$4,"yyyy-mm-dd")&amp;")"</f>
        <v>New Price (2026-11-13)</v>
      </c>
      <c r="B25" s="85"/>
      <c r="C25" s="58"/>
      <c r="D25" s="58"/>
      <c r="E25" s="86"/>
      <c r="F25" s="87"/>
      <c r="G25" s="86"/>
      <c r="H25" s="87"/>
      <c r="I25" s="86"/>
      <c r="J25" s="87"/>
      <c r="K25" s="86"/>
      <c r="L25" s="87"/>
    </row>
    <row r="26" spans="1:12">
      <c r="A26" s="81" t="str">
        <f>"New FX (exchange rate) ("&amp;TEXT($B$4,"yyyy-mm-dd")&amp;")"</f>
        <v>New FX (exchange rate) (2026-11-13)</v>
      </c>
      <c r="B26" s="85"/>
      <c r="C26" s="58"/>
      <c r="D26" s="58"/>
      <c r="E26" s="88"/>
      <c r="F26" s="89"/>
      <c r="G26" s="88"/>
      <c r="H26" s="89"/>
      <c r="I26" s="88"/>
      <c r="J26" s="89"/>
      <c r="K26" s="88"/>
      <c r="L26" s="89"/>
    </row>
    <row r="27" spans="1:12">
      <c r="A27" s="23" t="str">
        <f>"New Converted Price ("&amp;TEXT($B$4,"yyyy-mm-dd")&amp;")"</f>
        <v>New Converted Price (2026-11-13)</v>
      </c>
      <c r="B27" s="23"/>
      <c r="C27" s="58"/>
      <c r="D27" s="58"/>
      <c r="E27" s="90">
        <f t="shared" ref="E27:L27" si="0">E26*E25</f>
        <v>0</v>
      </c>
      <c r="F27" s="90">
        <f t="shared" si="0"/>
        <v>0</v>
      </c>
      <c r="G27" s="90">
        <f t="shared" si="0"/>
        <v>0</v>
      </c>
      <c r="H27" s="90">
        <f t="shared" si="0"/>
        <v>0</v>
      </c>
      <c r="I27" s="90">
        <f t="shared" si="0"/>
        <v>0</v>
      </c>
      <c r="J27" s="90">
        <f t="shared" si="0"/>
        <v>0</v>
      </c>
      <c r="K27" s="90">
        <f t="shared" si="0"/>
        <v>0</v>
      </c>
      <c r="L27" s="90">
        <f t="shared" si="0"/>
        <v>0</v>
      </c>
    </row>
    <row r="28" ht="16.5" customHeight="1" spans="1:12">
      <c r="A28" s="91" t="s">
        <v>78</v>
      </c>
      <c r="B28" s="92"/>
      <c r="C28" s="58"/>
      <c r="D28" s="93">
        <f>SUM(E28:AF28)</f>
        <v>0</v>
      </c>
      <c r="E28" s="94" t="str">
        <f>IF(E19="Buy",-E23*E24*E27,IF(E19="Sell",+E23*E24*E27,"None"))</f>
        <v>None</v>
      </c>
      <c r="F28" s="94" t="str">
        <f t="shared" ref="F28:L28" si="1">IF(F19="Buy",-F23*F24*F27,IF(F19="Sell",+F23*F24*F27,"None"))</f>
        <v>None</v>
      </c>
      <c r="G28" s="94" t="str">
        <f t="shared" si="1"/>
        <v>None</v>
      </c>
      <c r="H28" s="94" t="str">
        <f t="shared" si="1"/>
        <v>None</v>
      </c>
      <c r="I28" s="94" t="str">
        <f t="shared" si="1"/>
        <v>None</v>
      </c>
      <c r="J28" s="94" t="str">
        <f t="shared" si="1"/>
        <v>None</v>
      </c>
      <c r="K28" s="94" t="str">
        <f t="shared" si="1"/>
        <v>None</v>
      </c>
      <c r="L28" s="94" t="str">
        <f t="shared" si="1"/>
        <v>None</v>
      </c>
    </row>
    <row r="29" spans="1:12">
      <c r="A29" s="2"/>
      <c r="B29" s="2"/>
      <c r="D29" s="95" t="s">
        <v>79</v>
      </c>
      <c r="E29" s="96"/>
      <c r="F29" s="96"/>
      <c r="H29" s="96"/>
      <c r="I29" s="96"/>
      <c r="J29" s="96"/>
      <c r="K29" s="96"/>
      <c r="L29" s="96"/>
    </row>
    <row r="30" spans="1:12">
      <c r="A30" s="2"/>
      <c r="B30" s="2"/>
      <c r="E30" s="96"/>
      <c r="F30" s="96"/>
      <c r="H30" s="96"/>
      <c r="I30" s="96"/>
      <c r="J30" s="96"/>
      <c r="K30" s="96"/>
      <c r="L30" s="96"/>
    </row>
    <row r="31" ht="16.5" customHeight="1" spans="1:12">
      <c r="D31" s="97">
        <f>B6+D28</f>
        <v>19908.9441006433</v>
      </c>
    </row>
    <row r="32" spans="1:12">
      <c r="D32" s="95" t="s">
        <v>80</v>
      </c>
    </row>
    <row r="34" spans="1:12">
      <c r="A34" s="99" t="str">
        <f>IF(D31&gt;0,"+"," ")</f>
        <v>+</v>
      </c>
      <c r="B34" s="104">
        <f>IF(D31&gt;0,0.035%,0.07%)</f>
        <v>0.00035</v>
      </c>
      <c r="D34" s="105">
        <f>D31*(1+B34)</f>
        <v>19915.9122310785</v>
      </c>
    </row>
    <row r="35" spans="1:12">
      <c r="D35" s="106" t="s">
        <v>81</v>
      </c>
    </row>
    <row r="37" ht="20.4" spans="1:12">
      <c r="A37" s="59" t="s">
        <v>86</v>
      </c>
      <c r="B37" s="59"/>
      <c r="C37" s="59"/>
      <c r="D37" s="59"/>
      <c r="E37" s="60">
        <v>1</v>
      </c>
      <c r="F37" s="60">
        <v>2</v>
      </c>
      <c r="G37" s="60">
        <v>3</v>
      </c>
      <c r="H37" s="60">
        <v>4</v>
      </c>
      <c r="I37" s="60">
        <v>5</v>
      </c>
      <c r="J37" s="60">
        <v>6</v>
      </c>
      <c r="K37" s="60">
        <v>7</v>
      </c>
      <c r="L37" s="60">
        <v>8</v>
      </c>
    </row>
    <row r="38" ht="17.6" spans="1:12">
      <c r="A38" s="61" t="s">
        <v>55</v>
      </c>
      <c r="B38" s="61"/>
      <c r="C38" s="61"/>
      <c r="D38" s="62"/>
      <c r="E38" s="40"/>
      <c r="F38" s="23"/>
      <c r="G38" s="40"/>
      <c r="H38" s="23"/>
      <c r="I38" s="40"/>
      <c r="J38" s="23"/>
      <c r="K38" s="40"/>
      <c r="L38" s="23"/>
    </row>
    <row r="39" spans="1:12">
      <c r="A39" s="64" t="s">
        <v>57</v>
      </c>
      <c r="B39" s="64"/>
      <c r="C39" s="48"/>
      <c r="D39" s="58"/>
      <c r="E39" s="79"/>
      <c r="F39" s="80"/>
      <c r="G39" s="79"/>
      <c r="H39" s="80"/>
      <c r="I39" s="79"/>
      <c r="J39" s="80"/>
      <c r="K39" s="79"/>
      <c r="L39" s="80"/>
    </row>
    <row r="40" spans="1:12">
      <c r="A40" s="64" t="s">
        <v>64</v>
      </c>
      <c r="B40" s="64"/>
      <c r="C40" s="48"/>
      <c r="D40" s="58"/>
      <c r="E40" s="40"/>
      <c r="F40" s="23"/>
      <c r="G40" s="40"/>
      <c r="H40" s="23"/>
      <c r="I40" s="40"/>
      <c r="J40" s="23"/>
      <c r="K40" s="40"/>
      <c r="L40" s="23"/>
    </row>
    <row r="41" spans="1:12">
      <c r="A41" s="65" t="s">
        <v>71</v>
      </c>
      <c r="B41" s="66"/>
      <c r="C41" s="48"/>
      <c r="D41" s="58"/>
      <c r="E41" s="41"/>
      <c r="F41" s="81"/>
      <c r="G41" s="41"/>
      <c r="H41" s="81"/>
      <c r="I41" s="41"/>
      <c r="J41" s="81"/>
      <c r="K41" s="41"/>
      <c r="L41" s="81"/>
    </row>
    <row r="42" ht="17" spans="1:12">
      <c r="A42" s="64" t="s">
        <v>72</v>
      </c>
      <c r="B42" s="64"/>
      <c r="C42" s="48"/>
      <c r="D42" s="58"/>
      <c r="E42" s="82"/>
      <c r="F42" s="83"/>
      <c r="G42" s="82"/>
      <c r="H42" s="83"/>
      <c r="I42" s="82"/>
      <c r="J42" s="83"/>
      <c r="K42" s="82"/>
      <c r="L42" s="83"/>
    </row>
    <row r="43" ht="17" spans="1:12">
      <c r="A43" s="68" t="s">
        <v>73</v>
      </c>
      <c r="B43" s="69"/>
      <c r="C43" s="48"/>
      <c r="D43" s="58"/>
      <c r="E43" s="107"/>
      <c r="F43" s="107"/>
      <c r="G43" s="107"/>
      <c r="H43" s="107"/>
      <c r="I43" s="107"/>
      <c r="J43" s="107"/>
      <c r="K43" s="107"/>
      <c r="L43" s="107"/>
    </row>
    <row r="44" spans="1:12">
      <c r="A44" s="108" t="str">
        <f>"New Price ("&amp;TEXT($B$4,"yyyy-mm-dd")&amp;")"</f>
        <v>New Price (2026-11-13)</v>
      </c>
      <c r="B44" s="109"/>
      <c r="E44" s="86"/>
      <c r="F44" s="87"/>
      <c r="G44" s="86"/>
      <c r="H44" s="87"/>
      <c r="I44" s="86"/>
      <c r="J44" s="87"/>
      <c r="K44" s="86"/>
      <c r="L44" s="87"/>
    </row>
    <row r="45" spans="1:12">
      <c r="A45" s="81" t="str">
        <f>"New FX (exchange rate) ("&amp;TEXT($B$4,"yyyy-mm-dd")&amp;")"</f>
        <v>New FX (exchange rate) (2026-11-13)</v>
      </c>
      <c r="B45" s="85"/>
      <c r="E45" s="88"/>
      <c r="F45" s="89"/>
      <c r="G45" s="88"/>
      <c r="H45" s="89"/>
      <c r="I45" s="88"/>
      <c r="J45" s="89"/>
      <c r="K45" s="88"/>
      <c r="L45" s="89"/>
    </row>
    <row r="46" spans="1:12">
      <c r="A46" s="23" t="str">
        <f>"New Converted Price ("&amp;TEXT($B$4,"yyyy-mm-dd")&amp;")"</f>
        <v>New Converted Price (2026-11-13)</v>
      </c>
      <c r="B46" s="23"/>
      <c r="E46" s="90">
        <f t="shared" ref="E46:L46" si="2">E45*E44</f>
        <v>0</v>
      </c>
      <c r="F46" s="90">
        <f t="shared" si="2"/>
        <v>0</v>
      </c>
      <c r="G46" s="90">
        <f t="shared" si="2"/>
        <v>0</v>
      </c>
      <c r="H46" s="90">
        <f t="shared" si="2"/>
        <v>0</v>
      </c>
      <c r="I46" s="90">
        <f t="shared" si="2"/>
        <v>0</v>
      </c>
      <c r="J46" s="90">
        <f t="shared" si="2"/>
        <v>0</v>
      </c>
      <c r="K46" s="90">
        <f t="shared" si="2"/>
        <v>0</v>
      </c>
      <c r="L46" s="90">
        <f t="shared" si="2"/>
        <v>0</v>
      </c>
    </row>
    <row r="47" spans="1:12">
      <c r="A47" s="110" t="s">
        <v>87</v>
      </c>
      <c r="B47" s="111"/>
      <c r="D47" s="112">
        <f>SUM(E47:AF47)</f>
        <v>0</v>
      </c>
      <c r="E47" s="94" t="str">
        <f>IF(E38="Long",E42*E43*E46,IF(E38="Short",-E42*E43*E46,"None"))</f>
        <v>None</v>
      </c>
      <c r="F47" s="94" t="str">
        <f t="shared" ref="F47:L47" si="3">IF(F38="Long",F42*F43*F46,IF(F38="Short",-F42*F43*F46,"None"))</f>
        <v>None</v>
      </c>
      <c r="G47" s="94" t="str">
        <f t="shared" si="3"/>
        <v>None</v>
      </c>
      <c r="H47" s="94" t="str">
        <f t="shared" si="3"/>
        <v>None</v>
      </c>
      <c r="I47" s="94" t="str">
        <f t="shared" si="3"/>
        <v>None</v>
      </c>
      <c r="J47" s="94" t="str">
        <f t="shared" si="3"/>
        <v>None</v>
      </c>
      <c r="K47" s="94" t="str">
        <f t="shared" si="3"/>
        <v>None</v>
      </c>
      <c r="L47" s="94" t="str">
        <f t="shared" si="3"/>
        <v>None</v>
      </c>
    </row>
    <row r="48" spans="1:12">
      <c r="H48" s="113"/>
    </row>
    <row r="49" spans="1:8">
      <c r="A49" s="114" t="s">
        <v>88</v>
      </c>
      <c r="B49" s="115"/>
      <c r="D49" s="112">
        <f>D31+D47</f>
        <v>19908.9441006433</v>
      </c>
      <c r="F49" s="98">
        <f>D49/'09-Oct'!A6-1</f>
        <v>-0.99999800910559</v>
      </c>
      <c r="H49" s="113"/>
    </row>
    <row r="50" spans="1:8">
      <c r="F50" s="101" t="s">
        <v>89</v>
      </c>
    </row>
  </sheetData>
  <mergeCells count="39">
    <mergeCell ref="A7:B7"/>
    <mergeCell ref="A8:B8"/>
    <mergeCell ref="A9:D9"/>
    <mergeCell ref="A10:D10"/>
    <mergeCell ref="A11:B11"/>
    <mergeCell ref="A12:B12"/>
    <mergeCell ref="A13:B13"/>
    <mergeCell ref="A14:B14"/>
    <mergeCell ref="A15:B15"/>
    <mergeCell ref="A18:D18"/>
    <mergeCell ref="A19:D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37:D37"/>
    <mergeCell ref="A38:D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9:B49"/>
    <mergeCell ref="F3:F4"/>
    <mergeCell ref="H3:H4"/>
    <mergeCell ref="J1:J2"/>
    <mergeCell ref="J3:J4"/>
    <mergeCell ref="A1:B2"/>
    <mergeCell ref="K1:L2"/>
    <mergeCell ref="C1:I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L35"/>
  <sheetViews>
    <sheetView zoomScale="80" zoomScaleNormal="80" workbookViewId="0">
      <selection activeCell="D5" sqref="D5"/>
    </sheetView>
  </sheetViews>
  <sheetFormatPr defaultColWidth="9" defaultRowHeight="16.8"/>
  <cols>
    <col min="1" max="2" width="20.625" style="1" customWidth="1"/>
    <col min="3" max="3" width="4.875" style="1" customWidth="1"/>
    <col min="4" max="12" width="20.625" style="1" customWidth="1"/>
    <col min="13" max="16384" width="9" style="1"/>
  </cols>
  <sheetData>
    <row r="1" ht="16.5" customHeight="1" spans="1:12">
      <c r="A1" s="29" t="str">
        <f>'Risk Mgmt'!A1</f>
        <v>DBA4014</v>
      </c>
      <c r="B1" s="30"/>
      <c r="C1" s="31" t="s">
        <v>94</v>
      </c>
      <c r="D1" s="31"/>
      <c r="E1" s="31"/>
      <c r="F1" s="31"/>
      <c r="G1" s="31"/>
      <c r="H1" s="31"/>
      <c r="I1" s="31"/>
      <c r="J1" s="32" t="s">
        <v>44</v>
      </c>
      <c r="K1" s="33" t="str">
        <f>TEXT(B4,"YYYY-MM-DD")</f>
        <v>2026-11-20</v>
      </c>
      <c r="L1" s="33"/>
    </row>
    <row r="2" ht="16.5" customHeight="1" spans="1:12">
      <c r="A2" s="34"/>
      <c r="B2" s="34"/>
      <c r="C2" s="31"/>
      <c r="D2" s="31"/>
      <c r="E2" s="31"/>
      <c r="F2" s="31"/>
      <c r="G2" s="31"/>
      <c r="H2" s="31"/>
      <c r="I2" s="31"/>
      <c r="J2" s="35"/>
      <c r="K2" s="33"/>
      <c r="L2" s="33"/>
    </row>
    <row r="3" spans="1:12">
      <c r="A3" s="4" t="s">
        <v>2</v>
      </c>
      <c r="B3" s="36" t="str">
        <f>'30-Oct'!B3:B3</f>
        <v>DBA4</v>
      </c>
      <c r="C3" s="37"/>
      <c r="D3" s="38" t="s">
        <v>28</v>
      </c>
      <c r="E3" s="38" t="s">
        <v>30</v>
      </c>
      <c r="F3" s="39" t="s">
        <v>33</v>
      </c>
      <c r="G3" s="40" t="str">
        <f>'Risk Mgmt'!B27</f>
        <v>Jacob</v>
      </c>
      <c r="H3" s="39" t="s">
        <v>35</v>
      </c>
      <c r="I3" s="40" t="str">
        <f>'Risk Mgmt'!B28</f>
        <v>장단비</v>
      </c>
      <c r="J3" s="39" t="s">
        <v>38</v>
      </c>
      <c r="K3" s="41" t="str">
        <f>'Risk Mgmt'!B29</f>
        <v>채영찬</v>
      </c>
    </row>
    <row r="4" spans="1:12">
      <c r="A4" s="1" t="s">
        <v>45</v>
      </c>
      <c r="B4" s="42">
        <f>'13-Nov'!B4+7</f>
        <v>46346</v>
      </c>
      <c r="C4" s="43" t="str">
        <f>IF(WEEKDAY(B4)=1,"SUN",IF(WEEKDAY(B4)=2,"MON",IF(WEEKDAY(B4)=3,"TUE",IF(WEEKDAY(B4)=4,"WED",IF(WEEKDAY(B4)=5,"THU",IF(WEEKDAY(B4)=6,"FRI",IF(WEEKDAY(B4)=7,"SAT","-")))))))</f>
        <v>FRI</v>
      </c>
      <c r="D4" s="40" t="str">
        <f>'Risk Mgmt'!B25</f>
        <v>김경수</v>
      </c>
      <c r="E4" s="40" t="str">
        <f>'Risk Mgmt'!B26</f>
        <v>박준형</v>
      </c>
      <c r="F4" s="44"/>
      <c r="G4" s="40">
        <f>'Risk Mgmt'!C27</f>
        <v>0</v>
      </c>
      <c r="H4" s="44"/>
      <c r="I4" s="40" t="str">
        <f>'Risk Mgmt'!C28</f>
        <v>홍예나</v>
      </c>
      <c r="J4" s="44"/>
      <c r="K4" s="41">
        <f>'Risk Mgmt'!C29</f>
        <v>0</v>
      </c>
    </row>
    <row r="5" spans="1:12">
      <c r="A5" s="45" t="s">
        <v>46</v>
      </c>
      <c r="B5" s="46">
        <f>B4+3</f>
        <v>46349</v>
      </c>
      <c r="C5" s="47" t="str">
        <f>IF(WEEKDAY(B5)=1,"SUN",IF(WEEKDAY(B5)=2,"MON",IF(WEEKDAY(B5)=3,"TUE",IF(WEEKDAY(B5)=4,"WED",IF(WEEKDAY(B5)=5,"THU",IF(WEEKDAY(B5)=6,"FRI",IF(WEEKDAY(B5)=7,"SAT","-")))))))</f>
        <v>MON</v>
      </c>
      <c r="D5" s="48"/>
      <c r="E5" s="48"/>
      <c r="F5" s="48"/>
      <c r="G5" s="48"/>
      <c r="H5" s="48"/>
      <c r="I5" s="48"/>
      <c r="J5" s="48"/>
      <c r="K5" s="48"/>
      <c r="L5" s="48"/>
    </row>
    <row r="6" ht="16.5" customHeight="1" spans="1:12">
      <c r="B6" s="49">
        <f>'13-Nov'!D34</f>
        <v>19915.9122310785</v>
      </c>
      <c r="C6" s="48"/>
      <c r="D6" s="50" t="s">
        <v>47</v>
      </c>
      <c r="E6" s="51" t="s">
        <v>6</v>
      </c>
      <c r="F6" s="51" t="s">
        <v>9</v>
      </c>
      <c r="G6" s="51" t="s">
        <v>48</v>
      </c>
      <c r="H6" s="51" t="s">
        <v>49</v>
      </c>
      <c r="I6" s="52" t="s">
        <v>50</v>
      </c>
      <c r="J6" s="52" t="s">
        <v>51</v>
      </c>
      <c r="K6" s="52" t="s">
        <v>52</v>
      </c>
    </row>
    <row r="7" spans="1:12">
      <c r="A7" s="53" t="s">
        <v>53</v>
      </c>
      <c r="B7" s="53"/>
      <c r="C7" s="48"/>
      <c r="D7" s="54"/>
      <c r="E7" s="55">
        <f>'13-Nov'!E7</f>
        <v>0.1</v>
      </c>
      <c r="F7" s="55">
        <f>'13-Nov'!F7</f>
        <v>0.15</v>
      </c>
      <c r="G7" s="55">
        <f>'13-Nov'!G7</f>
        <v>0.4</v>
      </c>
      <c r="H7" s="55">
        <f>'13-Nov'!H7</f>
        <v>0.8</v>
      </c>
      <c r="I7" s="56">
        <f>'13-Nov'!I7</f>
        <v>0.1</v>
      </c>
      <c r="J7" s="56">
        <f>'13-Nov'!J7</f>
        <v>0.1</v>
      </c>
      <c r="K7" s="56">
        <f>'13-Nov'!K7</f>
        <v>0.1</v>
      </c>
    </row>
    <row r="8" spans="1:12">
      <c r="A8" s="57"/>
      <c r="B8" s="57"/>
      <c r="C8" s="48"/>
      <c r="D8" s="58"/>
      <c r="E8" s="58"/>
      <c r="F8" s="58"/>
      <c r="G8" s="58"/>
      <c r="H8" s="58"/>
      <c r="I8" s="58"/>
      <c r="J8" s="58"/>
      <c r="K8" s="58"/>
      <c r="L8" s="58"/>
    </row>
    <row r="9" ht="20.4" spans="1:12">
      <c r="A9" s="59" t="s">
        <v>83</v>
      </c>
      <c r="B9" s="59"/>
      <c r="C9" s="59"/>
      <c r="D9" s="59"/>
      <c r="E9" s="60">
        <v>1</v>
      </c>
      <c r="F9" s="60">
        <v>2</v>
      </c>
      <c r="G9" s="60">
        <v>3</v>
      </c>
      <c r="H9" s="60">
        <v>4</v>
      </c>
      <c r="I9" s="60">
        <v>5</v>
      </c>
      <c r="J9" s="60">
        <v>6</v>
      </c>
      <c r="K9" s="60">
        <v>7</v>
      </c>
      <c r="L9" s="60">
        <v>8</v>
      </c>
    </row>
    <row r="10" ht="17.6" spans="1:12">
      <c r="A10" s="61" t="s">
        <v>55</v>
      </c>
      <c r="B10" s="61"/>
      <c r="C10" s="61"/>
      <c r="D10" s="62"/>
      <c r="E10" s="63">
        <f>'13-Nov'!E38</f>
        <v>0</v>
      </c>
      <c r="F10" s="63">
        <f>'13-Nov'!F38</f>
        <v>0</v>
      </c>
      <c r="G10" s="63">
        <f>'13-Nov'!G38</f>
        <v>0</v>
      </c>
      <c r="H10" s="63">
        <f>'13-Nov'!H38</f>
        <v>0</v>
      </c>
      <c r="I10" s="63">
        <f>'13-Nov'!I38</f>
        <v>0</v>
      </c>
      <c r="J10" s="63">
        <f>'13-Nov'!J38</f>
        <v>0</v>
      </c>
      <c r="K10" s="63">
        <f>'13-Nov'!K38</f>
        <v>0</v>
      </c>
      <c r="L10" s="63">
        <f>'13-Nov'!L38</f>
        <v>0</v>
      </c>
    </row>
    <row r="11" spans="1:12">
      <c r="A11" s="64" t="s">
        <v>57</v>
      </c>
      <c r="B11" s="64"/>
      <c r="C11" s="48"/>
      <c r="D11" s="58"/>
      <c r="E11" s="63">
        <f>'13-Nov'!E39</f>
        <v>0</v>
      </c>
      <c r="F11" s="63">
        <f>'13-Nov'!F39</f>
        <v>0</v>
      </c>
      <c r="G11" s="63">
        <f>'13-Nov'!G39</f>
        <v>0</v>
      </c>
      <c r="H11" s="63">
        <f>'13-Nov'!H39</f>
        <v>0</v>
      </c>
      <c r="I11" s="63">
        <f>'13-Nov'!I39</f>
        <v>0</v>
      </c>
      <c r="J11" s="63">
        <f>'13-Nov'!J39</f>
        <v>0</v>
      </c>
      <c r="K11" s="63">
        <f>'13-Nov'!K39</f>
        <v>0</v>
      </c>
      <c r="L11" s="63">
        <f>'13-Nov'!L39</f>
        <v>0</v>
      </c>
    </row>
    <row r="12" spans="1:12">
      <c r="A12" s="64" t="s">
        <v>64</v>
      </c>
      <c r="B12" s="64"/>
      <c r="C12" s="48"/>
      <c r="D12" s="58"/>
      <c r="E12" s="63">
        <f>'13-Nov'!E40</f>
        <v>0</v>
      </c>
      <c r="F12" s="63">
        <f>'13-Nov'!F40</f>
        <v>0</v>
      </c>
      <c r="G12" s="63">
        <f>'13-Nov'!G40</f>
        <v>0</v>
      </c>
      <c r="H12" s="63">
        <f>'13-Nov'!H40</f>
        <v>0</v>
      </c>
      <c r="I12" s="63">
        <f>'13-Nov'!I40</f>
        <v>0</v>
      </c>
      <c r="J12" s="63">
        <f>'13-Nov'!J40</f>
        <v>0</v>
      </c>
      <c r="K12" s="63">
        <f>'13-Nov'!K40</f>
        <v>0</v>
      </c>
      <c r="L12" s="63">
        <f>'13-Nov'!L40</f>
        <v>0</v>
      </c>
    </row>
    <row r="13" spans="1:12">
      <c r="A13" s="65" t="s">
        <v>71</v>
      </c>
      <c r="B13" s="66"/>
      <c r="C13" s="48"/>
      <c r="D13" s="58"/>
      <c r="E13" s="63">
        <f>'13-Nov'!E41</f>
        <v>0</v>
      </c>
      <c r="F13" s="63">
        <f>'13-Nov'!F41</f>
        <v>0</v>
      </c>
      <c r="G13" s="63">
        <f>'13-Nov'!G41</f>
        <v>0</v>
      </c>
      <c r="H13" s="63">
        <f>'13-Nov'!H41</f>
        <v>0</v>
      </c>
      <c r="I13" s="63">
        <f>'13-Nov'!I41</f>
        <v>0</v>
      </c>
      <c r="J13" s="63">
        <f>'13-Nov'!J41</f>
        <v>0</v>
      </c>
      <c r="K13" s="63">
        <f>'13-Nov'!K41</f>
        <v>0</v>
      </c>
      <c r="L13" s="63">
        <f>'13-Nov'!L41</f>
        <v>0</v>
      </c>
    </row>
    <row r="14" ht="17" spans="1:12">
      <c r="A14" s="64" t="s">
        <v>72</v>
      </c>
      <c r="B14" s="64"/>
      <c r="C14" s="48"/>
      <c r="D14" s="58"/>
      <c r="E14" s="67">
        <f>'13-Nov'!E42</f>
        <v>0</v>
      </c>
      <c r="F14" s="67">
        <f>'13-Nov'!F42</f>
        <v>0</v>
      </c>
      <c r="G14" s="67">
        <f>'13-Nov'!G42</f>
        <v>0</v>
      </c>
      <c r="H14" s="67">
        <f>'13-Nov'!H42</f>
        <v>0</v>
      </c>
      <c r="I14" s="67">
        <f>'13-Nov'!I42</f>
        <v>0</v>
      </c>
      <c r="J14" s="67">
        <f>'13-Nov'!J42</f>
        <v>0</v>
      </c>
      <c r="K14" s="67">
        <f>'13-Nov'!K42</f>
        <v>0</v>
      </c>
      <c r="L14" s="67">
        <f>'13-Nov'!L42</f>
        <v>0</v>
      </c>
    </row>
    <row r="15" ht="17" spans="1:12">
      <c r="A15" s="68" t="s">
        <v>73</v>
      </c>
      <c r="B15" s="69"/>
      <c r="C15" s="48"/>
      <c r="D15" s="58"/>
      <c r="E15" s="63">
        <f>'13-Nov'!E43</f>
        <v>0</v>
      </c>
      <c r="F15" s="63">
        <f>'13-Nov'!F43</f>
        <v>0</v>
      </c>
      <c r="G15" s="63">
        <f>'13-Nov'!G43</f>
        <v>0</v>
      </c>
      <c r="H15" s="63">
        <f>'13-Nov'!H43</f>
        <v>0</v>
      </c>
      <c r="I15" s="63">
        <f>'13-Nov'!I43</f>
        <v>0</v>
      </c>
      <c r="J15" s="63">
        <f>'13-Nov'!J43</f>
        <v>0</v>
      </c>
      <c r="K15" s="63">
        <f>'13-Nov'!K43</f>
        <v>0</v>
      </c>
      <c r="L15" s="63">
        <f>'13-Nov'!L43</f>
        <v>0</v>
      </c>
    </row>
    <row r="16" spans="1:12">
      <c r="A16" s="70"/>
      <c r="B16" s="70"/>
      <c r="C16" s="48"/>
      <c r="D16" s="2"/>
      <c r="E16" s="71"/>
      <c r="F16" s="71"/>
      <c r="G16" s="71"/>
      <c r="H16" s="72"/>
      <c r="I16" s="71"/>
      <c r="J16" s="71"/>
      <c r="K16" s="71"/>
      <c r="L16" s="72"/>
    </row>
    <row r="17" spans="1:12">
      <c r="A17" s="70"/>
      <c r="B17" s="70"/>
      <c r="C17" s="48"/>
      <c r="D17" s="58"/>
      <c r="E17" s="73"/>
      <c r="F17" s="73"/>
      <c r="G17" s="74"/>
      <c r="H17" s="73"/>
      <c r="I17" s="73"/>
      <c r="J17" s="73"/>
      <c r="K17" s="74"/>
      <c r="L17" s="73"/>
    </row>
    <row r="18" ht="20.4" spans="1:12">
      <c r="A18" s="75" t="s">
        <v>95</v>
      </c>
      <c r="B18" s="75"/>
      <c r="C18" s="75"/>
      <c r="D18" s="75"/>
      <c r="E18" s="76">
        <v>1</v>
      </c>
      <c r="F18" s="60">
        <v>2</v>
      </c>
      <c r="G18" s="60">
        <v>3</v>
      </c>
      <c r="H18" s="60">
        <v>4</v>
      </c>
      <c r="I18" s="60">
        <v>5</v>
      </c>
      <c r="J18" s="60">
        <v>6</v>
      </c>
      <c r="K18" s="60">
        <v>7</v>
      </c>
      <c r="L18" s="60">
        <v>8</v>
      </c>
    </row>
    <row r="19" ht="17.6" spans="1:12">
      <c r="A19" s="77" t="s">
        <v>85</v>
      </c>
      <c r="B19" s="77"/>
      <c r="C19" s="77"/>
      <c r="D19" s="78"/>
      <c r="E19" s="40"/>
      <c r="F19" s="23"/>
      <c r="G19" s="40"/>
      <c r="H19" s="23"/>
      <c r="I19" s="40"/>
      <c r="J19" s="23"/>
      <c r="K19" s="40"/>
      <c r="L19" s="23"/>
    </row>
    <row r="20" spans="1:12">
      <c r="A20" s="64" t="s">
        <v>57</v>
      </c>
      <c r="B20" s="64"/>
      <c r="C20" s="58"/>
      <c r="D20" s="58"/>
      <c r="E20" s="79"/>
      <c r="F20" s="80"/>
      <c r="G20" s="79"/>
      <c r="H20" s="80"/>
      <c r="I20" s="79"/>
      <c r="J20" s="80"/>
      <c r="K20" s="79"/>
      <c r="L20" s="80"/>
    </row>
    <row r="21" spans="1:12">
      <c r="A21" s="64" t="s">
        <v>64</v>
      </c>
      <c r="B21" s="64"/>
      <c r="C21" s="58"/>
      <c r="D21" s="58"/>
      <c r="E21" s="40"/>
      <c r="F21" s="23"/>
      <c r="G21" s="40"/>
      <c r="H21" s="23"/>
      <c r="I21" s="40"/>
      <c r="J21" s="23"/>
      <c r="K21" s="40"/>
      <c r="L21" s="23"/>
    </row>
    <row r="22" spans="1:12">
      <c r="A22" s="65" t="s">
        <v>71</v>
      </c>
      <c r="B22" s="66"/>
      <c r="C22" s="58"/>
      <c r="D22" s="58"/>
      <c r="E22" s="41"/>
      <c r="F22" s="81"/>
      <c r="G22" s="41"/>
      <c r="H22" s="81"/>
      <c r="I22" s="41"/>
      <c r="J22" s="81"/>
      <c r="K22" s="41"/>
      <c r="L22" s="81"/>
    </row>
    <row r="23" ht="17" spans="1:12">
      <c r="A23" s="64" t="s">
        <v>72</v>
      </c>
      <c r="B23" s="64"/>
      <c r="C23" s="58"/>
      <c r="D23" s="58"/>
      <c r="E23" s="82"/>
      <c r="F23" s="83"/>
      <c r="G23" s="82"/>
      <c r="H23" s="83"/>
      <c r="I23" s="82"/>
      <c r="J23" s="83"/>
      <c r="K23" s="82"/>
      <c r="L23" s="83"/>
    </row>
    <row r="24" ht="17" spans="1:12">
      <c r="A24" s="68" t="s">
        <v>73</v>
      </c>
      <c r="B24" s="69"/>
      <c r="C24" s="58"/>
      <c r="D24" s="58"/>
      <c r="E24" s="84"/>
      <c r="F24" s="84"/>
      <c r="G24" s="84"/>
      <c r="H24" s="84"/>
      <c r="I24" s="84"/>
      <c r="J24" s="84"/>
      <c r="K24" s="84"/>
      <c r="L24" s="84"/>
    </row>
    <row r="25" spans="1:12">
      <c r="A25" s="81" t="str">
        <f>"New Price ("&amp;TEXT($B$4,"yyyy-mm-dd")&amp;")"</f>
        <v>New Price (2026-11-20)</v>
      </c>
      <c r="B25" s="85"/>
      <c r="C25" s="58"/>
      <c r="D25" s="58"/>
      <c r="E25" s="86"/>
      <c r="F25" s="87"/>
      <c r="G25" s="86"/>
      <c r="H25" s="87"/>
      <c r="I25" s="86"/>
      <c r="J25" s="87"/>
      <c r="K25" s="86"/>
      <c r="L25" s="87"/>
    </row>
    <row r="26" spans="1:12">
      <c r="A26" s="81" t="str">
        <f>"New FX (exchange rate) ("&amp;TEXT($B$4,"yyyy-mm-dd")&amp;")"</f>
        <v>New FX (exchange rate) (2026-11-20)</v>
      </c>
      <c r="B26" s="85"/>
      <c r="C26" s="58"/>
      <c r="D26" s="58"/>
      <c r="E26" s="88"/>
      <c r="F26" s="89"/>
      <c r="G26" s="88"/>
      <c r="H26" s="89"/>
      <c r="I26" s="88"/>
      <c r="J26" s="89"/>
      <c r="K26" s="88"/>
      <c r="L26" s="89"/>
    </row>
    <row r="27" spans="1:12">
      <c r="A27" s="23" t="str">
        <f>"New Converted Price ("&amp;TEXT($B$4,"yyyy-mm-dd")&amp;")"</f>
        <v>New Converted Price (2026-11-20)</v>
      </c>
      <c r="B27" s="23"/>
      <c r="C27" s="58"/>
      <c r="D27" s="58"/>
      <c r="E27" s="90">
        <f t="shared" ref="E27" si="0">E26*E25</f>
        <v>0</v>
      </c>
      <c r="F27" s="90">
        <f t="shared" ref="F27" si="1">F26*F25</f>
        <v>0</v>
      </c>
      <c r="G27" s="90">
        <f t="shared" ref="G27:H27" si="2">G26*G25</f>
        <v>0</v>
      </c>
      <c r="H27" s="90">
        <f t="shared" si="2"/>
        <v>0</v>
      </c>
      <c r="I27" s="90">
        <f t="shared" ref="I27" si="3">I26*I25</f>
        <v>0</v>
      </c>
      <c r="J27" s="90">
        <f t="shared" ref="J27" si="4">J26*J25</f>
        <v>0</v>
      </c>
      <c r="K27" s="90">
        <f t="shared" ref="K27" si="5">K26*K25</f>
        <v>0</v>
      </c>
      <c r="L27" s="90">
        <f t="shared" ref="L27" si="6">L26*L25</f>
        <v>0</v>
      </c>
    </row>
    <row r="28" ht="16.5" customHeight="1" spans="1:12">
      <c r="A28" s="91" t="s">
        <v>78</v>
      </c>
      <c r="B28" s="92"/>
      <c r="C28" s="58"/>
      <c r="D28" s="93">
        <f>SUM(E28:AF28)</f>
        <v>0</v>
      </c>
      <c r="E28" s="94" t="str">
        <f>IF(E19="Buy",-E23*E24*E27,IF(E19="Sell",+E23*E24*E27,"None"))</f>
        <v>None</v>
      </c>
      <c r="F28" s="94" t="str">
        <f t="shared" ref="F28:L28" si="7">IF(F19="Buy",-F23*F24*F27,IF(F19="Sell",+F23*F24*F27,"None"))</f>
        <v>None</v>
      </c>
      <c r="G28" s="94" t="str">
        <f t="shared" si="7"/>
        <v>None</v>
      </c>
      <c r="H28" s="94" t="str">
        <f t="shared" si="7"/>
        <v>None</v>
      </c>
      <c r="I28" s="94" t="str">
        <f t="shared" si="7"/>
        <v>None</v>
      </c>
      <c r="J28" s="94" t="str">
        <f t="shared" si="7"/>
        <v>None</v>
      </c>
      <c r="K28" s="94" t="str">
        <f t="shared" si="7"/>
        <v>None</v>
      </c>
      <c r="L28" s="94" t="str">
        <f t="shared" si="7"/>
        <v>None</v>
      </c>
    </row>
    <row r="29" spans="1:12">
      <c r="A29" s="2"/>
      <c r="B29" s="2"/>
      <c r="D29" s="95" t="s">
        <v>79</v>
      </c>
      <c r="E29" s="96"/>
      <c r="F29" s="96"/>
      <c r="H29" s="96"/>
      <c r="I29" s="96"/>
      <c r="J29" s="96"/>
      <c r="K29" s="96"/>
      <c r="L29" s="96"/>
    </row>
    <row r="30" spans="1:12">
      <c r="A30" s="2"/>
      <c r="B30" s="2"/>
      <c r="E30" s="96"/>
      <c r="F30" s="96"/>
      <c r="H30" s="96"/>
      <c r="I30" s="96"/>
      <c r="J30" s="96"/>
      <c r="K30" s="96"/>
      <c r="L30" s="96"/>
    </row>
    <row r="31" ht="16.5" customHeight="1" spans="1:12">
      <c r="D31" s="97">
        <f>B6+D28</f>
        <v>19915.9122310785</v>
      </c>
    </row>
    <row r="32" spans="1:12">
      <c r="D32" s="95" t="s">
        <v>80</v>
      </c>
    </row>
    <row r="33" spans="2:6">
      <c r="F33" s="98">
        <f>D31/'09-Oct'!A6-1</f>
        <v>-0.999998008408777</v>
      </c>
    </row>
    <row r="34" spans="2:6">
      <c r="B34" s="99"/>
      <c r="D34" s="100"/>
      <c r="F34" s="101" t="s">
        <v>89</v>
      </c>
    </row>
    <row r="35" spans="2:6">
      <c r="D35" s="102"/>
    </row>
  </sheetData>
  <mergeCells count="27">
    <mergeCell ref="A7:B7"/>
    <mergeCell ref="A8:B8"/>
    <mergeCell ref="A9:D9"/>
    <mergeCell ref="A10:D10"/>
    <mergeCell ref="A11:B11"/>
    <mergeCell ref="A12:B12"/>
    <mergeCell ref="A13:B13"/>
    <mergeCell ref="A14:B14"/>
    <mergeCell ref="A15:B15"/>
    <mergeCell ref="A18:D18"/>
    <mergeCell ref="A19:D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F3:F4"/>
    <mergeCell ref="H3:H4"/>
    <mergeCell ref="J1:J2"/>
    <mergeCell ref="J3:J4"/>
    <mergeCell ref="C1:I2"/>
    <mergeCell ref="A1:B2"/>
    <mergeCell ref="K1:L2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rgb="FF99FFCC"/>
  </sheetPr>
  <dimension ref="A1:L27"/>
  <sheetViews>
    <sheetView workbookViewId="0">
      <selection activeCell="M12" sqref="M12"/>
    </sheetView>
  </sheetViews>
  <sheetFormatPr defaultColWidth="8.75" defaultRowHeight="16.8"/>
  <cols>
    <col min="1" max="1" width="8.75" style="1"/>
    <col min="2" max="2" width="13.875" style="1" customWidth="1"/>
    <col min="3" max="3" width="10.125" style="1" customWidth="1"/>
    <col min="4" max="5" width="8.75" style="1"/>
    <col min="6" max="6" width="10.125" style="1" customWidth="1"/>
    <col min="7" max="12" width="8.75" style="1"/>
    <col min="13" max="13" width="10.625" style="1" customWidth="1"/>
    <col min="14" max="14" width="14.875" style="1" customWidth="1"/>
    <col min="15" max="15" width="9.75" style="1" customWidth="1"/>
    <col min="16" max="17" width="8.375" style="1" customWidth="1"/>
    <col min="18" max="18" width="9.75" style="1" customWidth="1"/>
    <col min="19" max="16384" width="8.75" style="1"/>
  </cols>
  <sheetData>
    <row r="1" spans="1:12">
      <c r="A1" s="2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2">
      <c r="B2" s="4" t="s">
        <v>96</v>
      </c>
      <c r="D2" s="5" t="s">
        <v>97</v>
      </c>
      <c r="E2" s="6"/>
      <c r="F2" s="6"/>
      <c r="G2" s="6"/>
      <c r="H2" s="7"/>
      <c r="I2" s="7"/>
      <c r="J2" s="8"/>
      <c r="K2" s="9"/>
    </row>
    <row r="3" spans="1:12">
      <c r="C3" s="10"/>
      <c r="D3" s="11" t="str">
        <f>'Risk Mgmt'!B25</f>
        <v>김경수</v>
      </c>
      <c r="E3" s="11" t="str">
        <f>'Risk Mgmt'!B26</f>
        <v>박준형</v>
      </c>
      <c r="F3" s="12" t="str">
        <f>'Risk Mgmt'!B27</f>
        <v>Jacob</v>
      </c>
      <c r="G3" s="11" t="str">
        <f>'Risk Mgmt'!B28</f>
        <v>장단비</v>
      </c>
      <c r="H3" s="11" t="str">
        <f>'Risk Mgmt'!B29</f>
        <v>채영찬</v>
      </c>
      <c r="I3" s="11" t="str">
        <f>'Risk Mgmt'!C28</f>
        <v>홍예나</v>
      </c>
      <c r="J3" s="11">
        <f>'Risk Mgmt'!C29</f>
        <v>0</v>
      </c>
      <c r="K3" s="2"/>
    </row>
    <row r="4" ht="14.1" customHeight="1" spans="1:12">
      <c r="B4" s="13" t="s">
        <v>98</v>
      </c>
      <c r="C4" s="11" t="str">
        <f>'Risk Mgmt'!B25</f>
        <v>김경수</v>
      </c>
      <c r="D4" s="11"/>
      <c r="E4" s="11"/>
      <c r="F4" s="11"/>
      <c r="G4" s="11"/>
      <c r="H4" s="11"/>
      <c r="I4" s="11"/>
      <c r="J4" s="11"/>
      <c r="K4" s="2"/>
    </row>
    <row r="5" spans="1:12">
      <c r="B5" s="13"/>
      <c r="C5" s="11" t="str">
        <f>'Risk Mgmt'!B26</f>
        <v>박준형</v>
      </c>
      <c r="D5" s="11"/>
      <c r="E5" s="11"/>
      <c r="F5" s="11"/>
      <c r="G5" s="11"/>
      <c r="H5" s="11"/>
      <c r="I5" s="11"/>
      <c r="J5" s="11"/>
      <c r="K5" s="2"/>
    </row>
    <row r="6" spans="1:12">
      <c r="B6" s="13"/>
      <c r="C6" s="12" t="str">
        <f>'Risk Mgmt'!B27</f>
        <v>Jacob</v>
      </c>
      <c r="D6" s="11"/>
      <c r="E6" s="11"/>
      <c r="F6" s="11"/>
      <c r="G6" s="11"/>
      <c r="H6" s="11"/>
      <c r="I6" s="11"/>
      <c r="J6" s="11"/>
      <c r="K6" s="2"/>
    </row>
    <row r="7" spans="1:12">
      <c r="B7" s="13"/>
      <c r="C7" s="11" t="str">
        <f>'Risk Mgmt'!B28</f>
        <v>장단비</v>
      </c>
      <c r="D7" s="11"/>
      <c r="E7" s="11"/>
      <c r="F7" s="11"/>
      <c r="G7" s="11"/>
      <c r="H7" s="11"/>
      <c r="I7" s="11"/>
      <c r="J7" s="11"/>
      <c r="K7" s="2"/>
    </row>
    <row r="8" spans="1:12">
      <c r="B8" s="13"/>
      <c r="C8" s="11" t="str">
        <f>'Risk Mgmt'!B29</f>
        <v>채영찬</v>
      </c>
      <c r="D8" s="11"/>
      <c r="E8" s="11"/>
      <c r="F8" s="11"/>
      <c r="G8" s="11"/>
      <c r="H8" s="11"/>
      <c r="I8" s="11"/>
      <c r="J8" s="11"/>
      <c r="K8" s="2"/>
    </row>
    <row r="9" spans="1:12">
      <c r="B9" s="13"/>
      <c r="C9" s="11" t="str">
        <f>'Risk Mgmt'!C28</f>
        <v>홍예나</v>
      </c>
      <c r="D9" s="11"/>
      <c r="E9" s="11"/>
      <c r="F9" s="11"/>
      <c r="G9" s="11"/>
      <c r="H9" s="11"/>
      <c r="I9" s="11"/>
      <c r="J9" s="11"/>
      <c r="K9" s="2"/>
    </row>
    <row r="10" spans="1:12">
      <c r="B10" s="13"/>
      <c r="C10" s="11">
        <f>'Risk Mgmt'!C29</f>
        <v>0</v>
      </c>
      <c r="D10" s="11"/>
      <c r="E10" s="11"/>
      <c r="F10" s="11"/>
      <c r="G10" s="11"/>
      <c r="H10" s="11"/>
      <c r="I10" s="11"/>
      <c r="J10" s="11"/>
      <c r="K10" s="2"/>
    </row>
    <row r="14" spans="1:12">
      <c r="A14" s="2"/>
      <c r="B14" s="3"/>
      <c r="C14" s="3"/>
      <c r="D14" s="3"/>
      <c r="E14" s="3"/>
      <c r="G14" s="3"/>
      <c r="H14" s="3"/>
      <c r="I14" s="3"/>
      <c r="J14" s="3"/>
      <c r="K14" s="3"/>
    </row>
    <row r="16" ht="17" spans="1:12">
      <c r="B16" s="14" t="s">
        <v>99</v>
      </c>
      <c r="C16" s="15" t="s">
        <v>100</v>
      </c>
      <c r="D16" s="15"/>
      <c r="E16" s="15"/>
      <c r="F16" s="15"/>
      <c r="G16" s="15"/>
      <c r="H16" s="15"/>
      <c r="I16" s="15"/>
      <c r="J16" s="15"/>
      <c r="K16" s="15"/>
      <c r="L16" s="16"/>
    </row>
    <row r="17" spans="2:12">
      <c r="B17" s="17"/>
      <c r="C17" s="15"/>
      <c r="D17" s="15"/>
      <c r="E17" s="18" t="s">
        <v>97</v>
      </c>
      <c r="F17" s="19"/>
      <c r="G17" s="19"/>
      <c r="H17" s="19"/>
      <c r="I17" s="20" t="s">
        <v>101</v>
      </c>
      <c r="J17" s="20"/>
      <c r="K17" s="21"/>
      <c r="L17" s="16"/>
    </row>
    <row r="18" spans="2:12">
      <c r="B18" s="17"/>
      <c r="C18" s="14" t="s">
        <v>99</v>
      </c>
      <c r="D18" s="22" t="s">
        <v>102</v>
      </c>
      <c r="E18" s="23" t="s">
        <v>103</v>
      </c>
      <c r="F18" s="23" t="s">
        <v>104</v>
      </c>
      <c r="G18" s="24" t="s">
        <v>101</v>
      </c>
      <c r="H18" s="23" t="s">
        <v>105</v>
      </c>
      <c r="I18" s="23" t="s">
        <v>106</v>
      </c>
      <c r="J18" s="23" t="s">
        <v>107</v>
      </c>
      <c r="K18" s="23" t="s">
        <v>108</v>
      </c>
      <c r="L18" s="16"/>
    </row>
    <row r="19" spans="2:12">
      <c r="B19" s="17"/>
      <c r="C19" s="25" t="s">
        <v>109</v>
      </c>
      <c r="D19" s="23" t="s">
        <v>103</v>
      </c>
      <c r="E19" s="26"/>
      <c r="F19" s="26"/>
      <c r="G19" s="23">
        <v>5</v>
      </c>
      <c r="H19" s="26"/>
      <c r="I19" s="26"/>
      <c r="J19" s="26"/>
      <c r="K19" s="26"/>
      <c r="L19" s="16"/>
    </row>
    <row r="20" spans="2:12">
      <c r="B20" s="17"/>
      <c r="C20" s="25"/>
      <c r="D20" s="23" t="s">
        <v>104</v>
      </c>
      <c r="E20" s="26"/>
      <c r="F20" s="26"/>
      <c r="G20" s="23">
        <v>2</v>
      </c>
      <c r="H20" s="26"/>
      <c r="I20" s="26"/>
      <c r="J20" s="26"/>
      <c r="K20" s="26"/>
      <c r="L20" s="16"/>
    </row>
    <row r="21" spans="2:12">
      <c r="B21" s="17"/>
      <c r="C21" s="25"/>
      <c r="D21" s="24" t="s">
        <v>101</v>
      </c>
      <c r="E21" s="26"/>
      <c r="F21" s="26"/>
      <c r="G21" s="27">
        <v>3</v>
      </c>
      <c r="H21" s="26"/>
      <c r="I21" s="26"/>
      <c r="J21" s="26"/>
      <c r="K21" s="26"/>
      <c r="L21" s="16"/>
    </row>
    <row r="22" spans="2:12">
      <c r="B22" s="17"/>
      <c r="C22" s="25"/>
      <c r="D22" s="23" t="s">
        <v>105</v>
      </c>
      <c r="E22" s="26"/>
      <c r="F22" s="26"/>
      <c r="G22" s="23">
        <v>4</v>
      </c>
      <c r="H22" s="26"/>
      <c r="I22" s="26"/>
      <c r="J22" s="26"/>
      <c r="K22" s="26"/>
      <c r="L22" s="16"/>
    </row>
    <row r="23" spans="2:12">
      <c r="B23" s="17"/>
      <c r="C23" s="25"/>
      <c r="D23" s="23" t="s">
        <v>106</v>
      </c>
      <c r="E23" s="26"/>
      <c r="F23" s="26"/>
      <c r="G23" s="23">
        <v>1</v>
      </c>
      <c r="H23" s="26"/>
      <c r="I23" s="26"/>
      <c r="J23" s="26"/>
      <c r="K23" s="26"/>
      <c r="L23" s="16"/>
    </row>
    <row r="24" spans="2:12">
      <c r="B24" s="17"/>
      <c r="C24" s="25"/>
      <c r="D24" s="23" t="s">
        <v>107</v>
      </c>
      <c r="E24" s="26"/>
      <c r="F24" s="26"/>
      <c r="G24" s="23">
        <v>2</v>
      </c>
      <c r="H24" s="26"/>
      <c r="I24" s="26"/>
      <c r="J24" s="26"/>
      <c r="K24" s="26"/>
      <c r="L24" s="16"/>
    </row>
    <row r="25" spans="2:12">
      <c r="B25" s="17"/>
      <c r="C25" s="25"/>
      <c r="D25" s="23" t="s">
        <v>108</v>
      </c>
      <c r="E25" s="26"/>
      <c r="F25" s="26"/>
      <c r="G25" s="23">
        <v>0</v>
      </c>
      <c r="H25" s="26"/>
      <c r="I25" s="26"/>
      <c r="J25" s="26"/>
      <c r="K25" s="26"/>
      <c r="L25" s="16"/>
    </row>
    <row r="26" spans="2:12">
      <c r="B26" s="17"/>
      <c r="C26" s="14"/>
      <c r="D26" s="15"/>
      <c r="E26" s="15"/>
      <c r="F26" s="15"/>
      <c r="G26" s="14"/>
      <c r="H26" s="15"/>
      <c r="I26" s="15"/>
      <c r="J26" s="15"/>
      <c r="K26" s="15"/>
      <c r="L26" s="16"/>
    </row>
    <row r="27" spans="2:12">
      <c r="B27" s="17"/>
      <c r="C27" s="15"/>
      <c r="D27" s="15"/>
      <c r="E27" s="15"/>
      <c r="F27" s="15"/>
      <c r="G27" s="28"/>
      <c r="H27" s="15" t="s">
        <v>110</v>
      </c>
      <c r="I27" s="15"/>
      <c r="J27" s="15"/>
      <c r="K27" s="15"/>
      <c r="L27" s="16"/>
    </row>
  </sheetData>
  <mergeCells count="7">
    <mergeCell ref="D2:G2"/>
    <mergeCell ref="H2:J2"/>
    <mergeCell ref="C16:K16"/>
    <mergeCell ref="E17:H17"/>
    <mergeCell ref="I17:K17"/>
    <mergeCell ref="B4:B10"/>
    <mergeCell ref="C19:C25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Risk Mgmt</vt:lpstr>
      <vt:lpstr>09-Oct</vt:lpstr>
      <vt:lpstr>16-Oct</vt:lpstr>
      <vt:lpstr>23-Oct</vt:lpstr>
      <vt:lpstr>30-Oct</vt:lpstr>
      <vt:lpstr>06-Nov</vt:lpstr>
      <vt:lpstr>13-Nov</vt:lpstr>
      <vt:lpstr>20-Nov</vt:lpstr>
      <vt:lpstr>PeerEV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신영석_2</dc:creator>
  <cp:lastModifiedBy>WPS_1677733080</cp:lastModifiedBy>
  <dcterms:created xsi:type="dcterms:W3CDTF">2015-03-13T00:04:00Z</dcterms:created>
  <dcterms:modified xsi:type="dcterms:W3CDTF">2026-10-11T22:17:07Z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62D80F22C01BEFB78D99C76A448DAC9D_42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