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windowWidth="16520" windowHeight="12340" tabRatio="616" firstSheet="0" activeTab="1" autoFilterDateGrouping="1"/>
  </bookViews>
  <sheets>
    <sheet xmlns:r="http://schemas.openxmlformats.org/officeDocument/2006/relationships" name="Risk Mgmt" sheetId="1" state="visible" r:id="rId1"/>
    <sheet xmlns:r="http://schemas.openxmlformats.org/officeDocument/2006/relationships" name="09-Oct" sheetId="2" state="visible" r:id="rId2"/>
    <sheet xmlns:r="http://schemas.openxmlformats.org/officeDocument/2006/relationships" name="16-Oct" sheetId="3" state="visible" r:id="rId3"/>
    <sheet xmlns:r="http://schemas.openxmlformats.org/officeDocument/2006/relationships" name="23-Oct" sheetId="4" state="visible" r:id="rId4"/>
    <sheet xmlns:r="http://schemas.openxmlformats.org/officeDocument/2006/relationships" name="30-Oct" sheetId="5" state="visible" r:id="rId5"/>
    <sheet xmlns:r="http://schemas.openxmlformats.org/officeDocument/2006/relationships" name="06-Nov" sheetId="6" state="visible" r:id="rId6"/>
    <sheet xmlns:r="http://schemas.openxmlformats.org/officeDocument/2006/relationships" name="13-Nov" sheetId="7" state="visible" r:id="rId7"/>
    <sheet xmlns:r="http://schemas.openxmlformats.org/officeDocument/2006/relationships" name="20-Nov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[$-1010412]yyyy\-mm\-dd"/>
    <numFmt numFmtId="165" formatCode="#,##0_ "/>
    <numFmt numFmtId="166" formatCode="0_ "/>
    <numFmt numFmtId="167" formatCode="0.0_ "/>
    <numFmt numFmtId="168" formatCode="[$-1010412]dd\-mmm"/>
  </numFmts>
  <fonts count="64">
    <font>
      <name val="宋体"/>
      <charset val="129"/>
      <color theme="1"/>
      <sz val="11"/>
      <scheme val="minor"/>
    </font>
    <font>
      <name val="Tahoma"/>
      <charset val="134"/>
      <color theme="1"/>
      <sz val="11"/>
    </font>
    <font>
      <name val="Tahoma"/>
      <charset val="134"/>
      <b val="1"/>
      <color rgb="FF0000FF"/>
      <sz val="20"/>
    </font>
    <font>
      <name val="Tahoma"/>
      <charset val="134"/>
      <color rgb="FF0000FF"/>
      <sz val="11"/>
    </font>
    <font>
      <name val="Tahoma"/>
      <charset val="134"/>
      <color rgb="FF0000FF"/>
      <sz val="20"/>
    </font>
    <font>
      <name val="Tahoma"/>
      <charset val="134"/>
      <b val="1"/>
      <color theme="1"/>
      <sz val="11"/>
    </font>
    <font>
      <name val="Tahoma"/>
      <charset val="134"/>
      <b val="1"/>
      <color rgb="FFFF0000"/>
      <sz val="11"/>
    </font>
    <font>
      <name val="Tahoma"/>
      <charset val="134"/>
      <b val="1"/>
      <sz val="11"/>
    </font>
    <font>
      <name val="Tahoma"/>
      <charset val="134"/>
      <b val="1"/>
      <color rgb="FF0000FF"/>
      <sz val="11"/>
    </font>
    <font>
      <name val="Tahoma"/>
      <charset val="134"/>
      <color theme="1"/>
      <sz val="10"/>
    </font>
    <font>
      <name val="Tahoma"/>
      <charset val="134"/>
      <color theme="1"/>
      <sz val="14"/>
    </font>
    <font>
      <name val="Tahoma"/>
      <charset val="134"/>
      <color theme="1"/>
      <sz val="16"/>
    </font>
    <font>
      <name val="Tahoma"/>
      <charset val="134"/>
      <b val="1"/>
      <color theme="1"/>
      <sz val="14"/>
    </font>
    <font>
      <name val="Tahoma"/>
      <charset val="134"/>
      <b val="1"/>
      <color rgb="FF0000FF"/>
      <sz val="14"/>
    </font>
    <font>
      <name val="Tahoma"/>
      <charset val="134"/>
      <color rgb="FF0000FF"/>
      <sz val="14"/>
    </font>
    <font>
      <name val="Tahoma"/>
      <charset val="134"/>
      <sz val="14"/>
    </font>
    <font>
      <name val="Tahoma"/>
      <charset val="134"/>
      <b val="1"/>
      <color theme="1"/>
      <sz val="10"/>
    </font>
    <font>
      <name val="Tahoma"/>
      <charset val="134"/>
      <sz val="11"/>
    </font>
    <font>
      <name val="Tahoma"/>
      <charset val="134"/>
      <color theme="0" tint="-0.499984740745262"/>
      <sz val="8"/>
    </font>
    <font>
      <name val="Tahoma"/>
      <charset val="134"/>
      <color theme="1"/>
      <sz val="9"/>
    </font>
    <font>
      <name val="Tahoma"/>
      <charset val="134"/>
      <b val="1"/>
      <color rgb="FF0000FF"/>
      <sz val="9"/>
    </font>
    <font>
      <name val="Tahoma"/>
      <charset val="134"/>
      <b val="1"/>
      <color theme="0"/>
      <sz val="11"/>
    </font>
    <font>
      <name val="Tahoma"/>
      <charset val="134"/>
      <color theme="1"/>
      <sz val="8"/>
    </font>
    <font>
      <name val="Tahoma"/>
      <charset val="134"/>
      <color theme="0" tint="-0.49998"/>
      <sz val="8"/>
    </font>
    <font>
      <name val="Tahoma"/>
      <charset val="134"/>
      <color rgb="FF000000"/>
      <sz val="14"/>
    </font>
    <font>
      <name val="Tahoma"/>
      <charset val="134"/>
      <color rgb="FF000000"/>
      <sz val="12"/>
    </font>
    <font>
      <name val="Tahoma"/>
      <charset val="134"/>
      <color theme="1"/>
      <sz val="12"/>
    </font>
    <font>
      <name val="Tahoma"/>
      <charset val="134"/>
      <b val="1"/>
      <color theme="1"/>
      <sz val="12"/>
    </font>
    <font>
      <name val="Tahoma"/>
      <charset val="134"/>
      <color rgb="FF0000FF"/>
      <sz val="16"/>
    </font>
    <font>
      <name val="Tahoma"/>
      <charset val="129"/>
      <b val="1"/>
      <color rgb="FF0000FF"/>
      <sz val="12"/>
    </font>
    <font>
      <name val="Apple SD Gothic Neo"/>
      <charset val="129"/>
      <color theme="1"/>
      <sz val="10"/>
    </font>
    <font>
      <name val="Tahoma"/>
      <charset val="129"/>
      <color theme="1"/>
      <sz val="12"/>
    </font>
    <font>
      <name val="Tahoma"/>
      <charset val="134"/>
      <color rgb="FFFF0000"/>
      <sz val="12"/>
    </font>
    <font>
      <name val="Tahoma"/>
      <charset val="129"/>
      <color theme="1"/>
      <sz val="10"/>
    </font>
    <font>
      <name val="맑은 고딕"/>
      <charset val="129"/>
      <color theme="1"/>
      <sz val="10"/>
    </font>
    <font>
      <name val="Tahoma"/>
      <charset val="134"/>
      <color rgb="FF0000FF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맑은 고딕"/>
      <charset val="134"/>
      <color theme="1"/>
      <sz val="11"/>
    </font>
    <font>
      <name val="Tahoma"/>
      <charset val="134"/>
      <color rgb="FF0000FF"/>
      <sz val="10"/>
    </font>
    <font>
      <name val="Tahoma"/>
      <charset val="134"/>
      <b val="1"/>
      <color rgb="FF0000FF"/>
      <sz val="10"/>
    </font>
    <font>
      <name val="Tahoma"/>
      <charset val="134"/>
      <color theme="1"/>
      <sz val="14"/>
      <u val="single"/>
    </font>
    <font>
      <name val="Tahoma"/>
      <charset val="134"/>
      <b val="1"/>
      <color rgb="FF0000FF"/>
      <sz val="12"/>
    </font>
    <font>
      <name val="Tahoma"/>
      <charset val="134"/>
      <b val="1"/>
      <color rgb="FF000000"/>
      <sz val="12"/>
    </font>
    <font>
      <name val="Tahoma"/>
      <charset val="134"/>
      <b val="1"/>
      <color rgb="FFFF0000"/>
      <sz val="14"/>
    </font>
    <font>
      <name val="Tahoma"/>
      <charset val="134"/>
      <color rgb="FFFF0000"/>
      <sz val="14"/>
    </font>
  </fonts>
  <fills count="40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0">
    <xf numFmtId="0" fontId="0" fillId="0" borderId="0" applyAlignment="1">
      <alignment vertical="center"/>
    </xf>
    <xf numFmtId="43" fontId="36" fillId="0" borderId="0" applyAlignment="1">
      <alignment vertical="center"/>
    </xf>
    <xf numFmtId="44" fontId="36" fillId="0" borderId="0" applyAlignment="1">
      <alignment vertical="center"/>
    </xf>
    <xf numFmtId="9" fontId="0" fillId="0" borderId="0" applyAlignment="1">
      <alignment vertical="center"/>
    </xf>
    <xf numFmtId="41" fontId="36" fillId="0" borderId="0" applyAlignment="1">
      <alignment vertical="center"/>
    </xf>
    <xf numFmtId="42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6" fillId="6" borderId="35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36" applyAlignment="1">
      <alignment vertical="center"/>
    </xf>
    <xf numFmtId="0" fontId="43" fillId="0" borderId="36" applyAlignment="1">
      <alignment vertical="center"/>
    </xf>
    <xf numFmtId="0" fontId="44" fillId="0" borderId="37" applyAlignment="1">
      <alignment vertical="center"/>
    </xf>
    <xf numFmtId="0" fontId="44" fillId="0" borderId="0" applyAlignment="1">
      <alignment vertical="center"/>
    </xf>
    <xf numFmtId="0" fontId="45" fillId="11" borderId="38" applyAlignment="1">
      <alignment vertical="center"/>
    </xf>
    <xf numFmtId="0" fontId="46" fillId="12" borderId="39" applyAlignment="1">
      <alignment vertical="center"/>
    </xf>
    <xf numFmtId="0" fontId="47" fillId="12" borderId="38" applyAlignment="1">
      <alignment vertical="center"/>
    </xf>
    <xf numFmtId="0" fontId="48" fillId="13" borderId="40" applyAlignment="1">
      <alignment vertical="center"/>
    </xf>
    <xf numFmtId="0" fontId="49" fillId="0" borderId="41" applyAlignment="1">
      <alignment vertical="center"/>
    </xf>
    <xf numFmtId="0" fontId="50" fillId="0" borderId="42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3" fillId="16" borderId="0" applyAlignment="1">
      <alignment vertical="center"/>
    </xf>
    <xf numFmtId="0" fontId="54" fillId="17" borderId="0" applyAlignment="1">
      <alignment vertical="center"/>
    </xf>
    <xf numFmtId="0" fontId="55" fillId="2" borderId="0" applyAlignment="1">
      <alignment vertical="center"/>
    </xf>
    <xf numFmtId="0" fontId="55" fillId="18" borderId="0" applyAlignment="1">
      <alignment vertical="center"/>
    </xf>
    <xf numFmtId="0" fontId="54" fillId="19" borderId="0" applyAlignment="1">
      <alignment vertical="center"/>
    </xf>
    <xf numFmtId="0" fontId="54" fillId="20" borderId="0" applyAlignment="1">
      <alignment vertical="center"/>
    </xf>
    <xf numFmtId="0" fontId="55" fillId="21" borderId="0" applyAlignment="1">
      <alignment vertical="center"/>
    </xf>
    <xf numFmtId="0" fontId="55" fillId="22" borderId="0" applyAlignment="1">
      <alignment vertical="center"/>
    </xf>
    <xf numFmtId="0" fontId="54" fillId="23" borderId="0" applyAlignment="1">
      <alignment vertical="center"/>
    </xf>
    <xf numFmtId="0" fontId="54" fillId="24" borderId="0" applyAlignment="1">
      <alignment vertical="center"/>
    </xf>
    <xf numFmtId="0" fontId="55" fillId="25" borderId="0" applyAlignment="1">
      <alignment vertical="center"/>
    </xf>
    <xf numFmtId="0" fontId="55" fillId="26" borderId="0" applyAlignment="1">
      <alignment vertical="center"/>
    </xf>
    <xf numFmtId="0" fontId="54" fillId="27" borderId="0" applyAlignment="1">
      <alignment vertical="center"/>
    </xf>
    <xf numFmtId="0" fontId="54" fillId="28" borderId="0" applyAlignment="1">
      <alignment vertical="center"/>
    </xf>
    <xf numFmtId="0" fontId="55" fillId="29" borderId="0" applyAlignment="1">
      <alignment vertical="center"/>
    </xf>
    <xf numFmtId="0" fontId="55" fillId="30" borderId="0" applyAlignment="1">
      <alignment vertical="center"/>
    </xf>
    <xf numFmtId="0" fontId="54" fillId="31" borderId="0" applyAlignment="1">
      <alignment vertical="center"/>
    </xf>
    <xf numFmtId="0" fontId="54" fillId="32" borderId="0" applyAlignment="1">
      <alignment vertical="center"/>
    </xf>
    <xf numFmtId="0" fontId="55" fillId="33" borderId="0" applyAlignment="1">
      <alignment vertical="center"/>
    </xf>
    <xf numFmtId="0" fontId="55" fillId="34" borderId="0" applyAlignment="1">
      <alignment vertical="center"/>
    </xf>
    <xf numFmtId="0" fontId="54" fillId="35" borderId="0" applyAlignment="1">
      <alignment vertical="center"/>
    </xf>
    <xf numFmtId="0" fontId="54" fillId="36" borderId="0" applyAlignment="1">
      <alignment vertical="center"/>
    </xf>
    <xf numFmtId="0" fontId="55" fillId="37" borderId="0" applyAlignment="1">
      <alignment vertical="center"/>
    </xf>
    <xf numFmtId="0" fontId="55" fillId="38" borderId="0" applyAlignment="1">
      <alignment vertical="center"/>
    </xf>
    <xf numFmtId="0" fontId="54" fillId="39" borderId="0" applyAlignment="1">
      <alignment vertical="center"/>
    </xf>
    <xf numFmtId="0" fontId="56" fillId="0" borderId="0" applyAlignment="1">
      <alignment vertical="center"/>
    </xf>
  </cellStyleXfs>
  <cellXfs count="36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5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9" fontId="1" fillId="5" borderId="2" applyAlignment="1" pivotButton="0" quotePrefix="0" xfId="3">
      <alignment horizontal="center" vertical="center"/>
    </xf>
    <xf numFmtId="9" fontId="1" fillId="0" borderId="2" applyAlignment="1" pivotButton="0" quotePrefix="0" xfId="3">
      <alignment horizontal="center" vertical="center"/>
    </xf>
    <xf numFmtId="0" fontId="5" fillId="4" borderId="0" applyAlignment="1" pivotButton="0" quotePrefix="0" xfId="0">
      <alignment vertical="center"/>
    </xf>
    <xf numFmtId="164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 wrapText="1"/>
    </xf>
    <xf numFmtId="0" fontId="10" fillId="6" borderId="5" applyAlignment="1" pivotButton="0" quotePrefix="0" xfId="0">
      <alignment horizontal="left" vertical="center" wrapText="1"/>
    </xf>
    <xf numFmtId="0" fontId="11" fillId="6" borderId="6" applyAlignment="1" pivotButton="0" quotePrefix="0" xfId="0">
      <alignment horizontal="left" vertical="center" wrapText="1"/>
    </xf>
    <xf numFmtId="0" fontId="11" fillId="6" borderId="7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4" fillId="3" borderId="5" applyAlignment="1" pivotButton="0" quotePrefix="0" xfId="0">
      <alignment vertical="center" wrapText="1"/>
    </xf>
    <xf numFmtId="0" fontId="15" fillId="3" borderId="6" applyAlignment="1" pivotButton="0" quotePrefix="0" xfId="0">
      <alignment vertical="center" wrapText="1"/>
    </xf>
    <xf numFmtId="0" fontId="15" fillId="3" borderId="7" applyAlignment="1" pivotButton="0" quotePrefix="0" xfId="0">
      <alignment vertical="center" wrapText="1"/>
    </xf>
    <xf numFmtId="0" fontId="11" fillId="6" borderId="11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1" fillId="6" borderId="12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5" fillId="3" borderId="11" applyAlignment="1" pivotButton="0" quotePrefix="0" xfId="0">
      <alignment vertical="center" wrapText="1"/>
    </xf>
    <xf numFmtId="0" fontId="15" fillId="3" borderId="0" applyAlignment="1" pivotButton="0" quotePrefix="0" xfId="0">
      <alignment vertical="center" wrapText="1"/>
    </xf>
    <xf numFmtId="0" fontId="15" fillId="3" borderId="12" applyAlignment="1" pivotButton="0" quotePrefix="0" xfId="0">
      <alignment vertical="center" wrapText="1"/>
    </xf>
    <xf numFmtId="0" fontId="13" fillId="0" borderId="8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5" fillId="3" borderId="8" applyAlignment="1" pivotButton="0" quotePrefix="0" xfId="0">
      <alignment vertical="center" wrapText="1"/>
    </xf>
    <xf numFmtId="0" fontId="15" fillId="3" borderId="1" applyAlignment="1" pivotButton="0" quotePrefix="0" xfId="0">
      <alignment vertical="center" wrapText="1"/>
    </xf>
    <xf numFmtId="0" fontId="15" fillId="3" borderId="9" applyAlignment="1" pivotButton="0" quotePrefix="0" xfId="0">
      <alignment vertical="center" wrapText="1"/>
    </xf>
    <xf numFmtId="0" fontId="11" fillId="6" borderId="8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6" borderId="9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center" vertical="center"/>
    </xf>
    <xf numFmtId="0" fontId="8" fillId="5" borderId="15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0" fontId="9" fillId="3" borderId="3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16" fillId="0" borderId="3" applyAlignment="1" pivotButton="0" quotePrefix="0" xfId="0">
      <alignment horizontal="right" vertical="center"/>
    </xf>
    <xf numFmtId="0" fontId="16" fillId="0" borderId="15" applyAlignment="1" pivotButton="0" quotePrefix="0" xfId="0">
      <alignment horizontal="right" vertical="center"/>
    </xf>
    <xf numFmtId="0" fontId="16" fillId="0" borderId="4" applyAlignment="1" pivotButton="0" quotePrefix="0" xfId="0">
      <alignment horizontal="right" vertical="center"/>
    </xf>
    <xf numFmtId="3" fontId="5" fillId="3" borderId="3" applyAlignment="1" pivotButton="0" quotePrefix="0" xfId="0">
      <alignment horizontal="center" vertical="center"/>
    </xf>
    <xf numFmtId="3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3" fontId="17" fillId="3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right" vertical="center"/>
    </xf>
    <xf numFmtId="0" fontId="18" fillId="7" borderId="3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9" fillId="4" borderId="15" applyAlignment="1" pivotButton="0" quotePrefix="0" xfId="0">
      <alignment horizontal="right" vertical="center"/>
    </xf>
    <xf numFmtId="0" fontId="1" fillId="7" borderId="15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3" fontId="1" fillId="3" borderId="5" applyAlignment="1" pivotButton="0" quotePrefix="0" xfId="0">
      <alignment horizontal="center" vertical="center"/>
    </xf>
    <xf numFmtId="3" fontId="1" fillId="3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21" fillId="8" borderId="3" applyAlignment="1" pivotButton="0" quotePrefix="0" xfId="0">
      <alignment horizontal="center" vertical="center"/>
    </xf>
    <xf numFmtId="0" fontId="21" fillId="8" borderId="15" applyAlignment="1" pivotButton="0" quotePrefix="0" xfId="0">
      <alignment horizontal="center" vertical="center"/>
    </xf>
    <xf numFmtId="0" fontId="21" fillId="8" borderId="4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3" fillId="4" borderId="0" applyAlignment="1" pivotButton="0" quotePrefix="0" xfId="0">
      <alignment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 wrapText="1"/>
    </xf>
    <xf numFmtId="0" fontId="8" fillId="0" borderId="8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17" fillId="3" borderId="5" applyAlignment="1" pivotButton="0" quotePrefix="0" xfId="0">
      <alignment horizontal="left" vertical="top" wrapText="1"/>
    </xf>
    <xf numFmtId="0" fontId="17" fillId="3" borderId="6" applyAlignment="1" pivotButton="0" quotePrefix="0" xfId="0">
      <alignment horizontal="left" vertical="top" wrapText="1"/>
    </xf>
    <xf numFmtId="0" fontId="17" fillId="3" borderId="7" applyAlignment="1" pivotButton="0" quotePrefix="0" xfId="0">
      <alignment horizontal="left" vertical="top" wrapText="1"/>
    </xf>
    <xf numFmtId="0" fontId="17" fillId="3" borderId="11" applyAlignment="1" pivotButton="0" quotePrefix="0" xfId="0">
      <alignment horizontal="left" vertical="top" wrapText="1"/>
    </xf>
    <xf numFmtId="0" fontId="17" fillId="3" borderId="0" applyAlignment="1" pivotButton="0" quotePrefix="0" xfId="0">
      <alignment horizontal="left" vertical="top" wrapText="1"/>
    </xf>
    <xf numFmtId="0" fontId="17" fillId="3" borderId="12" applyAlignment="1" pivotButton="0" quotePrefix="0" xfId="0">
      <alignment horizontal="left" vertical="top" wrapText="1"/>
    </xf>
    <xf numFmtId="0" fontId="17" fillId="3" borderId="8" applyAlignment="1" pivotButton="0" quotePrefix="0" xfId="0">
      <alignment horizontal="left" vertical="top" wrapText="1"/>
    </xf>
    <xf numFmtId="0" fontId="17" fillId="3" borderId="1" applyAlignment="1" pivotButton="0" quotePrefix="0" xfId="0">
      <alignment horizontal="left" vertical="top" wrapText="1"/>
    </xf>
    <xf numFmtId="0" fontId="17" fillId="3" borderId="9" applyAlignment="1" pivotButton="0" quotePrefix="0" xfId="0">
      <alignment horizontal="left" vertical="top" wrapText="1"/>
    </xf>
    <xf numFmtId="0" fontId="17" fillId="3" borderId="5" applyAlignment="1" pivotButton="0" quotePrefix="0" xfId="0">
      <alignment horizontal="left" vertical="top"/>
    </xf>
    <xf numFmtId="0" fontId="17" fillId="3" borderId="6" applyAlignment="1" pivotButton="0" quotePrefix="0" xfId="0">
      <alignment horizontal="left" vertical="top"/>
    </xf>
    <xf numFmtId="0" fontId="17" fillId="3" borderId="7" applyAlignment="1" pivotButton="0" quotePrefix="0" xfId="0">
      <alignment horizontal="left" vertical="top"/>
    </xf>
    <xf numFmtId="0" fontId="17" fillId="3" borderId="11" applyAlignment="1" pivotButton="0" quotePrefix="0" xfId="0">
      <alignment horizontal="left" vertical="top"/>
    </xf>
    <xf numFmtId="0" fontId="17" fillId="3" borderId="0" applyAlignment="1" pivotButton="0" quotePrefix="0" xfId="0">
      <alignment horizontal="left" vertical="top"/>
    </xf>
    <xf numFmtId="0" fontId="17" fillId="3" borderId="12" applyAlignment="1" pivotButton="0" quotePrefix="0" xfId="0">
      <alignment horizontal="left" vertical="top"/>
    </xf>
    <xf numFmtId="0" fontId="17" fillId="3" borderId="8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17" fillId="3" borderId="9" applyAlignment="1" pivotButton="0" quotePrefix="0" xfId="0">
      <alignment horizontal="left" vertical="top"/>
    </xf>
    <xf numFmtId="0" fontId="6" fillId="5" borderId="3" applyAlignment="1" pivotButton="0" quotePrefix="0" xfId="0">
      <alignment horizontal="center" vertical="center" wrapText="1"/>
    </xf>
    <xf numFmtId="0" fontId="6" fillId="5" borderId="15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9" fontId="1" fillId="4" borderId="2" applyAlignment="1" pivotButton="0" quotePrefix="0" xfId="3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" fillId="3" borderId="1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0" fontId="17" fillId="3" borderId="5" applyAlignment="1" pivotButton="0" quotePrefix="0" xfId="49">
      <alignment horizontal="left" vertical="top" wrapText="1"/>
    </xf>
    <xf numFmtId="0" fontId="17" fillId="3" borderId="6" applyAlignment="1" pivotButton="0" quotePrefix="0" xfId="49">
      <alignment horizontal="left" vertical="top" wrapText="1"/>
    </xf>
    <xf numFmtId="0" fontId="17" fillId="3" borderId="7" applyAlignment="1" pivotButton="0" quotePrefix="0" xfId="49">
      <alignment horizontal="left" vertical="top" wrapText="1"/>
    </xf>
    <xf numFmtId="0" fontId="17" fillId="3" borderId="11" applyAlignment="1" pivotButton="0" quotePrefix="0" xfId="49">
      <alignment horizontal="left" vertical="top" wrapText="1"/>
    </xf>
    <xf numFmtId="0" fontId="17" fillId="3" borderId="0" applyAlignment="1" pivotButton="0" quotePrefix="0" xfId="49">
      <alignment horizontal="left" vertical="top" wrapText="1"/>
    </xf>
    <xf numFmtId="0" fontId="17" fillId="3" borderId="12" applyAlignment="1" pivotButton="0" quotePrefix="0" xfId="49">
      <alignment horizontal="left" vertical="top" wrapText="1"/>
    </xf>
    <xf numFmtId="0" fontId="17" fillId="3" borderId="8" applyAlignment="1" pivotButton="0" quotePrefix="0" xfId="49">
      <alignment horizontal="left" vertical="top" wrapText="1"/>
    </xf>
    <xf numFmtId="0" fontId="17" fillId="3" borderId="1" applyAlignment="1" pivotButton="0" quotePrefix="0" xfId="49">
      <alignment horizontal="left" vertical="top" wrapText="1"/>
    </xf>
    <xf numFmtId="0" fontId="17" fillId="3" borderId="9" applyAlignment="1" pivotButton="0" quotePrefix="0" xfId="49">
      <alignment horizontal="left" vertical="top" wrapText="1"/>
    </xf>
    <xf numFmtId="0" fontId="1" fillId="3" borderId="3" applyAlignment="1" pivotButton="0" quotePrefix="0" xfId="49">
      <alignment horizontal="center" vertical="center"/>
    </xf>
    <xf numFmtId="0" fontId="1" fillId="3" borderId="2" applyAlignment="1" pivotButton="0" quotePrefix="0" xfId="49">
      <alignment horizontal="center" vertical="center"/>
    </xf>
    <xf numFmtId="0" fontId="9" fillId="3" borderId="3" applyAlignment="1" pivotButton="0" quotePrefix="0" xfId="49">
      <alignment horizontal="center" vertical="center"/>
    </xf>
    <xf numFmtId="0" fontId="9" fillId="3" borderId="2" applyAlignment="1" pivotButton="0" quotePrefix="0" xfId="49">
      <alignment horizontal="center" vertical="center"/>
    </xf>
    <xf numFmtId="0" fontId="17" fillId="3" borderId="3" applyAlignment="1" pivotButton="0" quotePrefix="0" xfId="49">
      <alignment horizontal="center" vertical="center"/>
    </xf>
    <xf numFmtId="3" fontId="5" fillId="3" borderId="3" applyAlignment="1" pivotButton="0" quotePrefix="0" xfId="49">
      <alignment horizontal="center" vertical="center"/>
    </xf>
    <xf numFmtId="3" fontId="5" fillId="3" borderId="2" applyAlignment="1" pivotButton="0" quotePrefix="0" xfId="49">
      <alignment horizontal="center" vertical="center"/>
    </xf>
    <xf numFmtId="0" fontId="5" fillId="3" borderId="3" applyAlignment="1" pivotButton="0" quotePrefix="0" xfId="49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17" fillId="3" borderId="3" applyAlignment="1" pivotButton="0" quotePrefix="0" xfId="49">
      <alignment horizontal="center" vertical="center"/>
    </xf>
    <xf numFmtId="3" fontId="17" fillId="3" borderId="3" applyAlignment="1" pivotButton="0" quotePrefix="0" xfId="49">
      <alignment horizontal="center" vertical="center"/>
    </xf>
    <xf numFmtId="0" fontId="17" fillId="3" borderId="2" applyAlignment="1" pivotButton="0" quotePrefix="0" xfId="0">
      <alignment horizontal="center" vertical="center"/>
    </xf>
    <xf numFmtId="0" fontId="23" fillId="9" borderId="3" applyAlignment="1" pivotButton="0" quotePrefix="0" xfId="49">
      <alignment horizontal="center" vertical="center"/>
    </xf>
    <xf numFmtId="0" fontId="1" fillId="7" borderId="4" applyAlignment="1" pivotButton="0" quotePrefix="0" xfId="0">
      <alignment horizontal="center" vertical="center"/>
    </xf>
    <xf numFmtId="3" fontId="1" fillId="3" borderId="10" applyAlignment="1" pivotButton="0" quotePrefix="0" xfId="0">
      <alignment horizontal="center" vertical="center"/>
    </xf>
    <xf numFmtId="3" fontId="1" fillId="3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3" borderId="8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3" fillId="2" borderId="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166" fontId="10" fillId="3" borderId="2" applyAlignment="1" pivotButton="0" quotePrefix="0" xfId="3">
      <alignment vertical="center"/>
    </xf>
    <xf numFmtId="0" fontId="9" fillId="0" borderId="6" applyAlignment="1" pivotButton="0" quotePrefix="0" xfId="0">
      <alignment vertical="center"/>
    </xf>
    <xf numFmtId="0" fontId="24" fillId="0" borderId="6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14" fillId="0" borderId="5" applyAlignment="1" pivotButton="0" quotePrefix="0" xfId="0">
      <alignment horizontal="left" vertical="center" wrapText="1"/>
    </xf>
    <xf numFmtId="0" fontId="14" fillId="0" borderId="6" applyAlignment="1" pivotButton="0" quotePrefix="0" xfId="0">
      <alignment horizontal="left" vertical="center" wrapText="1"/>
    </xf>
    <xf numFmtId="0" fontId="14" fillId="0" borderId="7" applyAlignment="1" pivotButton="0" quotePrefix="0" xfId="0">
      <alignment horizontal="left" vertical="center" wrapText="1"/>
    </xf>
    <xf numFmtId="0" fontId="10" fillId="0" borderId="1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5" fillId="0" borderId="12" applyAlignment="1" pivotButton="0" quotePrefix="0" xfId="0">
      <alignment horizontal="left" vertical="center"/>
    </xf>
    <xf numFmtId="0" fontId="14" fillId="0" borderId="1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12" applyAlignment="1" pivotButton="0" quotePrefix="0" xfId="0">
      <alignment horizontal="left" vertical="center" wrapText="1"/>
    </xf>
    <xf numFmtId="0" fontId="12" fillId="0" borderId="11" applyAlignment="1" pivotButton="0" quotePrefix="0" xfId="0">
      <alignment vertical="center"/>
    </xf>
    <xf numFmtId="166" fontId="10" fillId="3" borderId="2" applyAlignment="1" pivotButton="0" quotePrefix="0" xfId="0">
      <alignment vertical="center"/>
    </xf>
    <xf numFmtId="0" fontId="10" fillId="0" borderId="12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0" fontId="10" fillId="0" borderId="9" applyAlignment="1" pivotButton="0" quotePrefix="0" xfId="0">
      <alignment vertical="center"/>
    </xf>
    <xf numFmtId="167" fontId="10" fillId="0" borderId="3" applyAlignment="1" pivotButton="0" quotePrefix="0" xfId="0">
      <alignment horizontal="center" vertical="center"/>
    </xf>
    <xf numFmtId="167" fontId="10" fillId="0" borderId="15" applyAlignment="1" pivotButton="0" quotePrefix="0" xfId="0">
      <alignment horizontal="center" vertical="center"/>
    </xf>
    <xf numFmtId="167" fontId="10" fillId="0" borderId="9" applyAlignment="1" pivotButton="0" quotePrefix="0" xfId="0">
      <alignment horizontal="center" vertical="center"/>
    </xf>
    <xf numFmtId="0" fontId="12" fillId="0" borderId="1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25" fillId="0" borderId="3" applyAlignment="1" pivotButton="0" quotePrefix="0" xfId="0">
      <alignment vertical="center"/>
    </xf>
    <xf numFmtId="0" fontId="25" fillId="0" borderId="15" applyAlignment="1" pivotButton="0" quotePrefix="0" xfId="0">
      <alignment vertical="center"/>
    </xf>
    <xf numFmtId="0" fontId="25" fillId="0" borderId="4" applyAlignment="1" pivotButton="0" quotePrefix="0" xfId="0">
      <alignment vertical="center"/>
    </xf>
    <xf numFmtId="0" fontId="26" fillId="0" borderId="11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vertical="center"/>
    </xf>
    <xf numFmtId="0" fontId="26" fillId="0" borderId="6" applyAlignment="1" pivotButton="0" quotePrefix="0" xfId="0">
      <alignment vertical="center"/>
    </xf>
    <xf numFmtId="0" fontId="26" fillId="0" borderId="7" applyAlignment="1" pivotButton="0" quotePrefix="0" xfId="0">
      <alignment vertical="center"/>
    </xf>
    <xf numFmtId="166" fontId="10" fillId="3" borderId="10" applyAlignment="1" pivotButton="0" quotePrefix="0" xfId="0">
      <alignment vertical="center"/>
    </xf>
    <xf numFmtId="0" fontId="26" fillId="0" borderId="16" applyAlignment="1" pivotButton="0" quotePrefix="0" xfId="0">
      <alignment vertical="center"/>
    </xf>
    <xf numFmtId="0" fontId="26" fillId="0" borderId="17" applyAlignment="1" pivotButton="0" quotePrefix="0" xfId="0">
      <alignment vertical="center"/>
    </xf>
    <xf numFmtId="0" fontId="26" fillId="0" borderId="18" applyAlignment="1" pivotButton="0" quotePrefix="0" xfId="0">
      <alignment vertical="center"/>
    </xf>
    <xf numFmtId="166" fontId="10" fillId="3" borderId="19" applyAlignment="1" pivotButton="0" quotePrefix="0" xfId="0">
      <alignment vertical="center"/>
    </xf>
    <xf numFmtId="0" fontId="26" fillId="0" borderId="20" applyAlignment="1" pivotButton="0" quotePrefix="0" xfId="0">
      <alignment horizontal="left" vertical="center"/>
    </xf>
    <xf numFmtId="0" fontId="26" fillId="0" borderId="21" applyAlignment="1" pivotButton="0" quotePrefix="0" xfId="0">
      <alignment horizontal="left" vertical="center"/>
    </xf>
    <xf numFmtId="0" fontId="26" fillId="0" borderId="22" applyAlignment="1" pivotButton="0" quotePrefix="0" xfId="0">
      <alignment horizontal="left" vertical="center"/>
    </xf>
    <xf numFmtId="0" fontId="14" fillId="0" borderId="23" applyAlignment="1" pivotButton="0" quotePrefix="0" xfId="0">
      <alignment horizontal="center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26" fillId="0" borderId="24" applyAlignment="1" pivotButton="0" quotePrefix="0" xfId="0">
      <alignment vertical="center"/>
    </xf>
    <xf numFmtId="0" fontId="26" fillId="0" borderId="15" applyAlignment="1" pivotButton="0" quotePrefix="0" xfId="0">
      <alignment vertical="center"/>
    </xf>
    <xf numFmtId="0" fontId="26" fillId="0" borderId="4" applyAlignment="1" pivotButton="0" quotePrefix="0" xfId="0">
      <alignment vertical="center"/>
    </xf>
    <xf numFmtId="0" fontId="26" fillId="0" borderId="25" applyAlignment="1" pivotButton="0" quotePrefix="0" xfId="0">
      <alignment horizontal="left" vertical="center"/>
    </xf>
    <xf numFmtId="0" fontId="14" fillId="0" borderId="26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5" applyAlignment="1" pivotButton="0" quotePrefix="0" xfId="0">
      <alignment horizontal="center" vertical="center" wrapText="1"/>
    </xf>
    <xf numFmtId="0" fontId="26" fillId="0" borderId="27" applyAlignment="1" pivotButton="0" quotePrefix="0" xfId="0">
      <alignment vertical="center"/>
    </xf>
    <xf numFmtId="0" fontId="26" fillId="0" borderId="28" applyAlignment="1" pivotButton="0" quotePrefix="0" xfId="0">
      <alignment vertical="center"/>
    </xf>
    <xf numFmtId="0" fontId="26" fillId="0" borderId="29" applyAlignment="1" pivotButton="0" quotePrefix="0" xfId="0">
      <alignment vertical="center"/>
    </xf>
    <xf numFmtId="166" fontId="10" fillId="3" borderId="30" applyAlignment="1" pivotButton="0" quotePrefix="0" xfId="0">
      <alignment vertical="center"/>
    </xf>
    <xf numFmtId="0" fontId="26" fillId="0" borderId="31" applyAlignment="1" pivotButton="0" quotePrefix="0" xfId="0">
      <alignment horizontal="left" vertical="center"/>
    </xf>
    <xf numFmtId="0" fontId="26" fillId="0" borderId="32" applyAlignment="1" pivotButton="0" quotePrefix="0" xfId="0">
      <alignment horizontal="left" vertical="center"/>
    </xf>
    <xf numFmtId="0" fontId="26" fillId="0" borderId="33" applyAlignment="1" pivotButton="0" quotePrefix="0" xfId="0">
      <alignment horizontal="left" vertical="center"/>
    </xf>
    <xf numFmtId="0" fontId="14" fillId="0" borderId="34" applyAlignment="1" pivotButton="0" quotePrefix="0" xfId="0">
      <alignment horizontal="center" vertical="center" wrapText="1"/>
    </xf>
    <xf numFmtId="0" fontId="14" fillId="0" borderId="32" applyAlignment="1" pivotButton="0" quotePrefix="0" xfId="0">
      <alignment horizontal="center" vertical="center" wrapText="1"/>
    </xf>
    <xf numFmtId="0" fontId="14" fillId="0" borderId="33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0" fontId="9" fillId="0" borderId="12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2" fillId="10" borderId="11" applyAlignment="1" pivotButton="0" quotePrefix="0" xfId="0">
      <alignment vertical="center"/>
    </xf>
    <xf numFmtId="0" fontId="13" fillId="10" borderId="0" applyAlignment="1" pivotButton="0" quotePrefix="0" xfId="0">
      <alignment horizontal="left" vertical="center"/>
    </xf>
    <xf numFmtId="0" fontId="13" fillId="10" borderId="12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7" fillId="0" borderId="8" applyAlignment="1" pivotButton="0" quotePrefix="0" xfId="0">
      <alignment vertical="center"/>
    </xf>
    <xf numFmtId="0" fontId="24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vertical="center"/>
    </xf>
    <xf numFmtId="0" fontId="27" fillId="0" borderId="11" applyAlignment="1" pivotButton="0" quotePrefix="0" xfId="0">
      <alignment vertical="center"/>
    </xf>
    <xf numFmtId="0" fontId="28" fillId="0" borderId="0" applyAlignment="1" pivotButton="0" quotePrefix="0" xfId="0">
      <alignment horizontal="left" vertical="center" wrapText="1"/>
    </xf>
    <xf numFmtId="0" fontId="29" fillId="0" borderId="10" applyAlignment="1" pivotButton="0" quotePrefix="0" xfId="0">
      <alignment horizontal="center" vertical="center"/>
    </xf>
    <xf numFmtId="0" fontId="30" fillId="3" borderId="10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9" fillId="0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5" borderId="3" applyAlignment="1" pivotButton="0" quotePrefix="0" xfId="0">
      <alignment horizontal="center" vertical="center" wrapText="1"/>
    </xf>
    <xf numFmtId="0" fontId="32" fillId="5" borderId="15" applyAlignment="1" pivotButton="0" quotePrefix="0" xfId="0">
      <alignment horizontal="center" vertical="center" wrapText="1"/>
    </xf>
    <xf numFmtId="0" fontId="32" fillId="5" borderId="4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34" fillId="3" borderId="2" applyAlignment="1" pivotButton="0" quotePrefix="0" xfId="0">
      <alignment horizontal="center" vertical="center"/>
    </xf>
    <xf numFmtId="0" fontId="30" fillId="3" borderId="2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14" fillId="0" borderId="8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4" fillId="0" borderId="9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35" fillId="0" borderId="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26" fillId="0" borderId="2" applyAlignment="1" pivotButton="0" quotePrefix="0" xfId="0">
      <alignment horizontal="center" vertical="center" wrapText="1"/>
    </xf>
    <xf numFmtId="0" fontId="26" fillId="0" borderId="2" applyAlignment="1" pivotButton="0" quotePrefix="0" xfId="0">
      <alignment vertical="center"/>
    </xf>
    <xf numFmtId="168" fontId="26" fillId="5" borderId="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9" fillId="0" borderId="6" applyAlignment="1" pivotButton="0" quotePrefix="1" xfId="0">
      <alignment vertical="center"/>
    </xf>
    <xf numFmtId="0" fontId="9" fillId="0" borderId="0" applyAlignment="1" pivotButton="0" quotePrefix="1" xfId="0">
      <alignment vertical="center"/>
    </xf>
    <xf numFmtId="0" fontId="26" fillId="0" borderId="11" applyAlignment="1" pivotButton="0" quotePrefix="1" xfId="0">
      <alignment horizontal="left" vertical="center"/>
    </xf>
    <xf numFmtId="0" fontId="26" fillId="0" borderId="20" applyAlignment="1" pivotButton="0" quotePrefix="1" xfId="0">
      <alignment horizontal="left" vertical="center"/>
    </xf>
    <xf numFmtId="0" fontId="26" fillId="0" borderId="31" applyAlignment="1" pivotButton="0" quotePrefix="1" xfId="0">
      <alignment horizontal="left" vertical="center"/>
    </xf>
    <xf numFmtId="0" fontId="0" fillId="0" borderId="0" pivotButton="0" quotePrefix="0" xfId="0"/>
    <xf numFmtId="0" fontId="0" fillId="0" borderId="12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8" pivotButton="0" quotePrefix="0" xfId="0"/>
    <xf numFmtId="0" fontId="6" fillId="3" borderId="14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4" pivotButton="0" quotePrefix="0" xfId="0"/>
    <xf numFmtId="166" fontId="10" fillId="3" borderId="2" applyAlignment="1" pivotButton="0" quotePrefix="0" xfId="3">
      <alignment vertical="center"/>
    </xf>
    <xf numFmtId="0" fontId="14" fillId="0" borderId="2" applyAlignment="1" pivotButton="0" quotePrefix="0" xfId="0">
      <alignment horizontal="left" vertical="center" wrapText="1"/>
    </xf>
    <xf numFmtId="0" fontId="0" fillId="0" borderId="11" pivotButton="0" quotePrefix="0" xfId="0"/>
    <xf numFmtId="166" fontId="10" fillId="3" borderId="2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167" fontId="10" fillId="0" borderId="2" applyAlignment="1" pivotButton="0" quotePrefix="0" xfId="0">
      <alignment horizontal="center" vertical="center"/>
    </xf>
    <xf numFmtId="0" fontId="25" fillId="0" borderId="2" applyAlignment="1" pivotButton="0" quotePrefix="0" xfId="0">
      <alignment vertical="center"/>
    </xf>
    <xf numFmtId="0" fontId="26" fillId="0" borderId="10" applyAlignment="1" pivotButton="0" quotePrefix="0" xfId="0">
      <alignment vertical="center"/>
    </xf>
    <xf numFmtId="166" fontId="10" fillId="3" borderId="10" applyAlignment="1" pivotButton="0" quotePrefix="0" xfId="0">
      <alignment vertical="center"/>
    </xf>
    <xf numFmtId="0" fontId="26" fillId="0" borderId="43" applyAlignment="1" pivotButton="0" quotePrefix="0" xfId="0">
      <alignment vertical="center"/>
    </xf>
    <xf numFmtId="0" fontId="0" fillId="0" borderId="17" pivotButton="0" quotePrefix="0" xfId="0"/>
    <xf numFmtId="0" fontId="0" fillId="0" borderId="18" pivotButton="0" quotePrefix="0" xfId="0"/>
    <xf numFmtId="166" fontId="10" fillId="3" borderId="19" applyAlignment="1" pivotButton="0" quotePrefix="0" xfId="0">
      <alignment vertical="center"/>
    </xf>
    <xf numFmtId="0" fontId="26" fillId="0" borderId="45" applyAlignment="1" pivotButton="0" quotePrefix="1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14" fillId="0" borderId="50" applyAlignment="1" pivotButton="0" quotePrefix="0" xfId="0">
      <alignment horizontal="center" vertical="center" wrapText="1"/>
    </xf>
    <xf numFmtId="0" fontId="26" fillId="0" borderId="46" applyAlignment="1" pivotButton="0" quotePrefix="0" xfId="0">
      <alignment vertical="center"/>
    </xf>
    <xf numFmtId="0" fontId="26" fillId="0" borderId="47" applyAlignment="1" pivotButton="0" quotePrefix="1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26" fillId="0" borderId="48" applyAlignment="1" pivotButton="0" quotePrefix="0" xfId="0">
      <alignment vertical="center"/>
    </xf>
    <xf numFmtId="0" fontId="0" fillId="0" borderId="28" pivotButton="0" quotePrefix="0" xfId="0"/>
    <xf numFmtId="0" fontId="0" fillId="0" borderId="29" pivotButton="0" quotePrefix="0" xfId="0"/>
    <xf numFmtId="166" fontId="10" fillId="3" borderId="30" applyAlignment="1" pivotButton="0" quotePrefix="0" xfId="0">
      <alignment vertical="center"/>
    </xf>
    <xf numFmtId="0" fontId="26" fillId="0" borderId="49" applyAlignment="1" pivotButton="0" quotePrefix="1" xfId="0">
      <alignment horizontal="left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32" fillId="5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168" fontId="26" fillId="5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7" fillId="3" borderId="10" applyAlignment="1" pivotButton="0" quotePrefix="0" xfId="49">
      <alignment horizontal="left" vertical="top" wrapText="1"/>
    </xf>
    <xf numFmtId="0" fontId="0" fillId="0" borderId="13" pivotButton="0" quotePrefix="0" xfId="0"/>
    <xf numFmtId="0" fontId="17" fillId="3" borderId="13" applyAlignment="1" pivotButton="0" quotePrefix="0" xfId="49">
      <alignment horizontal="left" vertical="top" wrapText="1"/>
    </xf>
    <xf numFmtId="0" fontId="17" fillId="3" borderId="14" applyAlignment="1" pivotButton="0" quotePrefix="0" xfId="49">
      <alignment horizontal="left" vertical="top" wrapText="1"/>
    </xf>
    <xf numFmtId="0" fontId="0" fillId="0" borderId="14" pivotButton="0" quotePrefix="0" xfId="0"/>
    <xf numFmtId="0" fontId="8" fillId="5" borderId="2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6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/>
    </xf>
    <xf numFmtId="165" fontId="17" fillId="3" borderId="3" applyAlignment="1" pivotButton="0" quotePrefix="0" xfId="49">
      <alignment horizontal="center" vertical="center"/>
    </xf>
    <xf numFmtId="3" fontId="1" fillId="3" borderId="3" applyAlignment="1" pivotButton="0" quotePrefix="0" xfId="0">
      <alignment horizontal="center" vertical="center"/>
    </xf>
    <xf numFmtId="3" fontId="1" fillId="3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left" vertical="top" wrapText="1"/>
    </xf>
    <xf numFmtId="0" fontId="17" fillId="3" borderId="2" applyAlignment="1" pivotButton="0" quotePrefix="0" xfId="0">
      <alignment horizontal="left" vertical="top"/>
    </xf>
    <xf numFmtId="0" fontId="14" fillId="3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" xfId="49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tabColor rgb="FF99FF99"/>
    <outlinePr summaryBelow="1" summaryRight="1"/>
    <pageSetUpPr/>
  </sheetPr>
  <dimension ref="A1:T41"/>
  <sheetViews>
    <sheetView topLeftCell="A13" zoomScale="88" zoomScaleNormal="88" workbookViewId="0">
      <selection activeCell="B32" sqref="B32:H41"/>
    </sheetView>
  </sheetViews>
  <sheetFormatPr baseColWidth="8" defaultColWidth="9" defaultRowHeight="16.8"/>
  <cols>
    <col width="17.75" customWidth="1" style="1" min="1" max="1"/>
    <col width="9.875" customWidth="1" style="1" min="2" max="2"/>
    <col width="9.125" customWidth="1" style="1" min="3" max="3"/>
    <col width="15.5" customWidth="1" style="1" min="4" max="4"/>
    <col width="9" customWidth="1" style="1" min="5" max="8"/>
    <col width="19.125" customWidth="1" style="1" min="9" max="9"/>
    <col width="2.125" customWidth="1" style="1" min="10" max="10"/>
    <col width="16.375" customWidth="1" style="1" min="11" max="11"/>
    <col width="14.625" customWidth="1" style="1" min="12" max="12"/>
    <col width="2.125" customWidth="1" style="1" min="13" max="13"/>
    <col width="9" customWidth="1" style="1" min="14" max="16384"/>
  </cols>
  <sheetData>
    <row r="1" ht="16.5" customHeight="1" s="293">
      <c r="A1" s="173" t="inlineStr">
        <is>
          <t>DBA4014</t>
        </is>
      </c>
      <c r="B1" s="294" t="n"/>
      <c r="C1" s="295" t="inlineStr">
        <is>
          <t>Risk Management Rules</t>
        </is>
      </c>
      <c r="D1" s="296" t="n"/>
      <c r="E1" s="296" t="n"/>
      <c r="F1" s="296" t="n"/>
      <c r="G1" s="296" t="n"/>
      <c r="H1" s="296" t="n"/>
      <c r="I1" s="297" t="n"/>
      <c r="J1" s="171" t="n"/>
      <c r="K1" s="171" t="n"/>
      <c r="L1" s="171" t="n"/>
      <c r="M1" s="171" t="n"/>
    </row>
    <row r="2" ht="16.5" customHeight="1" s="293">
      <c r="A2" s="298" t="n"/>
      <c r="B2" s="299" t="n"/>
      <c r="C2" s="300" t="n"/>
      <c r="D2" s="298" t="n"/>
      <c r="E2" s="298" t="n"/>
      <c r="F2" s="298" t="n"/>
      <c r="G2" s="298" t="n"/>
      <c r="H2" s="298" t="n"/>
      <c r="I2" s="299" t="n"/>
      <c r="J2" s="171" t="n"/>
      <c r="K2" s="171" t="n"/>
      <c r="L2" s="171" t="n"/>
      <c r="M2" s="171" t="n"/>
    </row>
    <row r="3">
      <c r="A3" s="176" t="inlineStr">
        <is>
          <t>Company</t>
        </is>
      </c>
      <c r="B3" s="301" t="inlineStr">
        <is>
          <t>DBA4</t>
        </is>
      </c>
      <c r="C3" s="299" t="n"/>
    </row>
    <row r="4">
      <c r="A4" s="176" t="inlineStr">
        <is>
          <t>Date</t>
        </is>
      </c>
      <c r="B4" s="302" t="n">
        <v>46304</v>
      </c>
      <c r="C4" s="303" t="n"/>
      <c r="D4" s="179">
        <f>IF(WEEKDAY(B4)=1,"SUN",IF(WEEKDAY(B4)=2,"MON",IF(WEEKDAY(B4)=3,"TUE",IF(WEEKDAY(B4)=4,"WED",IF(WEEKDAY(B4)=5,"THU",IF(WEEKDAY(B4)=6,"FRI",IF(WEEKDAY(B4)=7,"SAT","-")))))))</f>
        <v/>
      </c>
    </row>
    <row r="5" ht="21" customHeight="1" s="293">
      <c r="A5" s="180" t="inlineStr">
        <is>
          <t>Risk Management Rules (Self-Regulation)</t>
        </is>
      </c>
      <c r="B5" s="303" t="n"/>
      <c r="C5" s="303" t="n"/>
      <c r="D5" s="303" t="n"/>
      <c r="E5" s="303" t="n"/>
      <c r="F5" s="303" t="n"/>
      <c r="G5" s="303" t="n"/>
      <c r="H5" s="303" t="n"/>
      <c r="I5" s="304" t="n"/>
    </row>
    <row r="6" ht="6" customHeight="1" s="293">
      <c r="A6" s="181" t="n"/>
      <c r="B6" s="303" t="n"/>
      <c r="C6" s="303" t="n"/>
      <c r="D6" s="303" t="n"/>
      <c r="E6" s="303" t="n"/>
      <c r="F6" s="303" t="n"/>
      <c r="G6" s="303" t="n"/>
      <c r="H6" s="303" t="n"/>
      <c r="I6" s="303" t="n"/>
    </row>
    <row r="7" ht="20.25" customHeight="1" s="293">
      <c r="A7" s="183" t="inlineStr">
        <is>
          <t>Loss-cut</t>
        </is>
      </c>
      <c r="B7" s="305" t="n">
        <v>10</v>
      </c>
      <c r="C7" s="288" t="inlineStr">
        <is>
          <t>%  Enforcing this rule is primarily the CRO's responsibility.</t>
        </is>
      </c>
      <c r="D7" s="186" t="n"/>
      <c r="E7" s="187" t="n"/>
      <c r="F7" s="187" t="n"/>
      <c r="G7" s="187" t="n"/>
      <c r="H7" s="187" t="n"/>
      <c r="I7" s="188" t="n"/>
      <c r="N7" s="306" t="inlineStr">
        <is>
          <t xml:space="preserve">Our PaperTrade is limited to macro risks only
- ETFs, ETNs, (i.e. ETPs)
- Futures on indices and commodities
- Options on indices and commodities
- No investment in individual stocks 
  No single-stock futures 
  No single-stock options
  + 
  No single-stock ETFs such as: 
    (including but not limited to...)
    TSLQ: -1× the daily performance of Tesla 
    NVDS: -1.25× the daily performance of Nvidia 
    PYPS: -1.5× the daily performance of PayPal 
    PYPT: +1.5× the daily performance of PayPal 
    NKEQ: -2× the daily performance of Nike 
    NKEL: +2× the daily performance of Nike 
    PFES: -2× the daily performance of Pfizer 
    PFEL: +2× the daily performance of Pfizer 
</t>
        </is>
      </c>
      <c r="O7" s="296" t="n"/>
      <c r="P7" s="296" t="n"/>
      <c r="Q7" s="296" t="n"/>
      <c r="R7" s="296" t="n"/>
      <c r="S7" s="296" t="n"/>
      <c r="T7" s="297" t="n"/>
    </row>
    <row r="8" ht="17.45" customHeight="1" s="293">
      <c r="A8" s="192" t="n"/>
      <c r="B8" s="193" t="n"/>
      <c r="C8" s="195" t="n"/>
      <c r="I8" s="294" t="n"/>
      <c r="N8" s="307" t="n"/>
      <c r="T8" s="294" t="n"/>
    </row>
    <row r="9" ht="17.45" customHeight="1" s="293">
      <c r="A9" s="199" t="inlineStr">
        <is>
          <t>Profit-taking</t>
        </is>
      </c>
      <c r="B9" s="308" t="n">
        <v>15</v>
      </c>
      <c r="C9" s="289" t="inlineStr">
        <is>
          <t>%  Enforcing this rule is primarily the CRO's responsibility.</t>
        </is>
      </c>
      <c r="D9" s="193" t="n"/>
      <c r="E9" s="193" t="n"/>
      <c r="F9" s="193" t="n"/>
      <c r="G9" s="193" t="n"/>
      <c r="H9" s="193" t="n"/>
      <c r="I9" s="201" t="n"/>
      <c r="N9" s="307" t="n"/>
      <c r="T9" s="294" t="n"/>
    </row>
    <row r="10" ht="17.45" customHeight="1" s="293">
      <c r="A10" s="199" t="n"/>
      <c r="B10" s="309" t="n"/>
      <c r="C10" s="19" t="n"/>
      <c r="D10" s="193" t="n"/>
      <c r="E10" s="193" t="n"/>
      <c r="F10" s="193" t="n"/>
      <c r="G10" s="193" t="n"/>
      <c r="H10" s="193" t="n"/>
      <c r="I10" s="203" t="n"/>
      <c r="N10" s="307" t="n"/>
      <c r="T10" s="294" t="n"/>
    </row>
    <row r="11" ht="17.45" customHeight="1" s="293">
      <c r="A11" s="199" t="n"/>
      <c r="B11" s="310" t="inlineStr">
        <is>
          <t>The "disposition effect": a behavioral bias</t>
        </is>
      </c>
      <c r="C11" s="303" t="n"/>
      <c r="D11" s="303" t="n"/>
      <c r="E11" s="303" t="n"/>
      <c r="F11" s="303" t="n"/>
      <c r="G11" s="303" t="n"/>
      <c r="H11" s="303" t="n"/>
      <c r="I11" s="304" t="n"/>
      <c r="N11" s="307" t="n"/>
      <c r="T11" s="294" t="n"/>
    </row>
    <row r="12" ht="17.45" customHeight="1" s="293">
      <c r="A12" s="192" t="n"/>
      <c r="B12" s="193" t="n"/>
      <c r="C12" s="193" t="n"/>
      <c r="D12" s="193" t="n"/>
      <c r="E12" s="193" t="n"/>
      <c r="F12" s="193" t="n"/>
      <c r="G12" s="193" t="n"/>
      <c r="H12" s="193" t="n"/>
      <c r="I12" s="201" t="n"/>
      <c r="N12" s="307" t="n"/>
      <c r="T12" s="294" t="n"/>
    </row>
    <row r="13" ht="17.45" customHeight="1" s="293">
      <c r="A13" s="207" t="inlineStr">
        <is>
          <t>Exposure Limits:</t>
        </is>
      </c>
      <c r="C13" s="193" t="n"/>
      <c r="D13" s="193" t="n"/>
      <c r="E13" s="193" t="n"/>
      <c r="F13" s="193" t="n"/>
      <c r="G13" s="193" t="n"/>
      <c r="H13" s="193" t="n"/>
      <c r="I13" s="201" t="n"/>
      <c r="N13" s="307" t="n"/>
      <c r="T13" s="294" t="n"/>
    </row>
    <row r="14" ht="17.45" customHeight="1" s="293">
      <c r="A14" s="192" t="n"/>
      <c r="B14" s="311" t="inlineStr">
        <is>
          <t xml:space="preserve">Any one stock(ETF) exposure: </t>
        </is>
      </c>
      <c r="C14" s="303" t="n"/>
      <c r="D14" s="304" t="n"/>
      <c r="E14" s="308" t="n">
        <v>40</v>
      </c>
      <c r="F14" s="290" t="inlineStr">
        <is>
          <t>% of the fund (\10billion)</t>
        </is>
      </c>
      <c r="I14" s="201" t="n"/>
      <c r="N14" s="307" t="n"/>
      <c r="T14" s="294" t="n"/>
    </row>
    <row r="15" ht="17.45" customHeight="1" s="293">
      <c r="A15" s="192" t="n"/>
      <c r="B15" s="312" t="inlineStr">
        <is>
          <t xml:space="preserve">Any one Country exposure: </t>
        </is>
      </c>
      <c r="C15" s="296" t="n"/>
      <c r="D15" s="297" t="n"/>
      <c r="E15" s="313" t="n">
        <v>80</v>
      </c>
      <c r="F15" s="290" t="inlineStr">
        <is>
          <t>% of the fund (\10billion)</t>
        </is>
      </c>
      <c r="I15" s="201" t="n"/>
      <c r="N15" s="307" t="n"/>
      <c r="T15" s="294" t="n"/>
    </row>
    <row r="16" ht="17.45" customHeight="1" s="293">
      <c r="A16" s="192" t="n"/>
      <c r="B16" s="314" t="inlineStr">
        <is>
          <t xml:space="preserve">Any Futures Net exposure: </t>
        </is>
      </c>
      <c r="C16" s="315" t="n"/>
      <c r="D16" s="316" t="n"/>
      <c r="E16" s="317" t="n">
        <v>10</v>
      </c>
      <c r="F16" s="318" t="inlineStr">
        <is>
          <t>% of the fund (\10billion)</t>
        </is>
      </c>
      <c r="G16" s="319" t="n"/>
      <c r="H16" s="320" t="n"/>
      <c r="I16" s="321" t="inlineStr">
        <is>
          <t>size(exposure) = underlying asset's price x multiplier x #of contracts (x FX rate)</t>
        </is>
      </c>
      <c r="J16" s="319" t="n"/>
      <c r="K16" s="319" t="n"/>
      <c r="L16" s="320" t="n"/>
      <c r="N16" s="307" t="n"/>
      <c r="T16" s="294" t="n"/>
    </row>
    <row r="17" ht="18" customHeight="1" s="293">
      <c r="A17" s="192" t="n"/>
      <c r="B17" s="322" t="inlineStr">
        <is>
          <t xml:space="preserve">Any Options Long exposure: </t>
        </is>
      </c>
      <c r="C17" s="303" t="n"/>
      <c r="D17" s="304" t="n"/>
      <c r="E17" s="308" t="n">
        <v>10</v>
      </c>
      <c r="F17" s="323" t="inlineStr">
        <is>
          <t>% of the fund (\10billion)</t>
        </is>
      </c>
      <c r="H17" s="324" t="n"/>
      <c r="I17" s="325" t="n"/>
      <c r="L17" s="324" t="n"/>
      <c r="N17" s="307" t="n"/>
      <c r="T17" s="294" t="n"/>
    </row>
    <row r="18" ht="17.45" customHeight="1" s="293">
      <c r="A18" s="192" t="n"/>
      <c r="B18" s="326" t="inlineStr">
        <is>
          <t xml:space="preserve">Any Options Short exposure: </t>
        </is>
      </c>
      <c r="C18" s="327" t="n"/>
      <c r="D18" s="328" t="n"/>
      <c r="E18" s="329" t="n">
        <v>10</v>
      </c>
      <c r="F18" s="330" t="inlineStr">
        <is>
          <t>% of the fund (\10billion)</t>
        </is>
      </c>
      <c r="G18" s="331" t="n"/>
      <c r="H18" s="332" t="n"/>
      <c r="I18" s="333" t="n"/>
      <c r="J18" s="331" t="n"/>
      <c r="K18" s="331" t="n"/>
      <c r="L18" s="332" t="n"/>
      <c r="N18" s="307" t="n"/>
      <c r="T18" s="294" t="n"/>
    </row>
    <row r="19" ht="17.45" customHeight="1" s="293">
      <c r="A19" s="192" t="n"/>
      <c r="B19" s="245" t="n"/>
      <c r="C19" s="245" t="n"/>
      <c r="D19" s="245" t="n"/>
      <c r="E19" s="309" t="n"/>
      <c r="F19" s="213" t="n"/>
      <c r="G19" s="213" t="n"/>
      <c r="H19" s="213" t="n"/>
      <c r="I19" s="246" t="n"/>
      <c r="N19" s="307" t="n"/>
      <c r="T19" s="294" t="n"/>
    </row>
    <row r="20" ht="17.45" customHeight="1" s="293">
      <c r="A20" s="199" t="inlineStr">
        <is>
          <t>New Trade</t>
        </is>
      </c>
      <c r="B20" s="248" t="inlineStr">
        <is>
          <t>Only on Friday at Friday's closing prices (Order-type: Market-on-Close)</t>
        </is>
      </c>
      <c r="I20" s="294" t="n"/>
      <c r="N20" s="307" t="n"/>
      <c r="T20" s="294" t="n"/>
    </row>
    <row r="21" ht="17.45" customHeight="1" s="293">
      <c r="A21" s="249" t="inlineStr">
        <is>
          <t>Trade Size</t>
        </is>
      </c>
      <c r="B21" s="251" t="inlineStr">
        <is>
          <t>Less than 25% of Daily Trading Volume on previous Thursday</t>
        </is>
      </c>
      <c r="I21" s="294" t="n"/>
      <c r="N21" s="307" t="n"/>
      <c r="T21" s="294" t="n"/>
    </row>
    <row r="22" ht="17.45" customHeight="1" s="293">
      <c r="A22" s="192" t="inlineStr">
        <is>
          <t>Leverage</t>
        </is>
      </c>
      <c r="B22" s="252" t="inlineStr">
        <is>
          <t>up to 30% of the asset at 3.64% p.a.</t>
        </is>
      </c>
      <c r="G22" s="193" t="n"/>
      <c r="H22" s="193" t="n"/>
      <c r="I22" s="201" t="n"/>
      <c r="N22" s="307" t="n"/>
      <c r="T22" s="294" t="n"/>
    </row>
    <row r="23" ht="17.45" customHeight="1" s="293">
      <c r="A23" s="253" t="inlineStr">
        <is>
          <t>ETF Borrowing</t>
        </is>
      </c>
      <c r="B23" s="254" t="inlineStr">
        <is>
          <t xml:space="preserve">up to 30% of the asset (at zero cost) </t>
        </is>
      </c>
      <c r="C23" s="298" t="n"/>
      <c r="D23" s="298" t="n"/>
      <c r="E23" s="298" t="n"/>
      <c r="F23" s="298" t="n"/>
      <c r="G23" s="255" t="n"/>
      <c r="H23" s="255" t="n"/>
      <c r="I23" s="203" t="n"/>
      <c r="N23" s="307" t="n"/>
      <c r="T23" s="294" t="n"/>
    </row>
    <row r="24" ht="23.2" customHeight="1" s="293">
      <c r="A24" s="256" t="n"/>
      <c r="B24" s="252" t="n"/>
      <c r="C24" s="252" t="n"/>
      <c r="D24" s="252" t="n"/>
      <c r="E24" s="1" t="inlineStr">
        <is>
          <t>NOTE: Each team should decide on its own limits.</t>
        </is>
      </c>
      <c r="F24" s="252" t="n"/>
      <c r="G24" s="193" t="n"/>
      <c r="H24" s="193" t="n"/>
      <c r="I24" s="193" t="n"/>
      <c r="K24" s="257" t="n"/>
      <c r="L24" s="257" t="n"/>
      <c r="M24" s="257" t="n"/>
      <c r="N24" s="307" t="n"/>
      <c r="T24" s="294" t="n"/>
    </row>
    <row r="25" ht="17.6" customHeight="1" s="293">
      <c r="A25" s="258" t="inlineStr">
        <is>
          <t>CEO</t>
        </is>
      </c>
      <c r="B25" s="259" t="inlineStr">
        <is>
          <t>김경수</t>
        </is>
      </c>
      <c r="C25" s="260" t="n"/>
      <c r="D25" s="261" t="n"/>
      <c r="E25" s="261" t="n"/>
      <c r="F25" s="261" t="n"/>
      <c r="G25" s="261" t="n"/>
      <c r="H25" s="261" t="n"/>
      <c r="I25" s="261" t="n"/>
      <c r="J25" s="261" t="n"/>
      <c r="K25" s="261" t="n"/>
      <c r="L25" s="261" t="n"/>
      <c r="N25" s="307" t="n"/>
      <c r="T25" s="294" t="n"/>
    </row>
    <row r="26" ht="17.6" customHeight="1" s="293">
      <c r="A26" s="262" t="inlineStr">
        <is>
          <t>CRO</t>
        </is>
      </c>
      <c r="B26" s="259" t="inlineStr">
        <is>
          <t>박준형</t>
        </is>
      </c>
      <c r="C26" s="263" t="n"/>
      <c r="D26" s="334" t="inlineStr">
        <is>
          <t>Check if your orders are in compliance with your team's (self-imposing) risk management rules!</t>
        </is>
      </c>
      <c r="E26" s="303" t="n"/>
      <c r="F26" s="303" t="n"/>
      <c r="G26" s="303" t="n"/>
      <c r="H26" s="303" t="n"/>
      <c r="I26" s="303" t="n"/>
      <c r="J26" s="303" t="n"/>
      <c r="K26" s="303" t="n"/>
      <c r="L26" s="304" t="n"/>
      <c r="N26" s="307" t="n"/>
      <c r="T26" s="294" t="n"/>
    </row>
    <row r="27" ht="17.6" customHeight="1" s="293">
      <c r="A27" s="262" t="inlineStr">
        <is>
          <t>CIO</t>
        </is>
      </c>
      <c r="B27" s="259" t="inlineStr">
        <is>
          <t>Jacob</t>
        </is>
      </c>
      <c r="C27" s="267" t="n"/>
      <c r="D27" s="261" t="n"/>
      <c r="E27" s="261" t="n"/>
      <c r="F27" s="261" t="n"/>
      <c r="G27" s="261" t="n"/>
      <c r="H27" s="261" t="n"/>
      <c r="I27" s="261" t="n"/>
      <c r="J27" s="261" t="n"/>
      <c r="K27" s="261" t="n"/>
      <c r="L27" s="261" t="n"/>
      <c r="N27" s="307" t="n"/>
      <c r="T27" s="294" t="n"/>
    </row>
    <row r="28" ht="17.6" customHeight="1" s="293">
      <c r="A28" s="262" t="inlineStr">
        <is>
          <t>Research</t>
        </is>
      </c>
      <c r="B28" s="259" t="inlineStr">
        <is>
          <t>장단비</t>
        </is>
      </c>
      <c r="C28" s="268" t="inlineStr">
        <is>
          <t>홍예나</t>
        </is>
      </c>
      <c r="D28" s="261" t="n"/>
      <c r="E28" s="261" t="n"/>
      <c r="F28" s="261" t="n"/>
      <c r="G28" s="261" t="n"/>
      <c r="H28" s="261" t="n"/>
      <c r="I28" s="261" t="n"/>
      <c r="J28" s="261" t="n"/>
      <c r="K28" s="261" t="n"/>
      <c r="L28" s="261" t="n"/>
      <c r="N28" s="307" t="n"/>
      <c r="T28" s="294" t="n"/>
    </row>
    <row r="29" ht="17.6" customHeight="1" s="293">
      <c r="A29" s="262" t="inlineStr">
        <is>
          <t>COO</t>
        </is>
      </c>
      <c r="B29" s="269" t="inlineStr">
        <is>
          <t>채영찬</t>
        </is>
      </c>
      <c r="C29" s="270" t="n"/>
      <c r="D29" s="261" t="n"/>
      <c r="E29" s="261" t="n"/>
      <c r="F29" s="261" t="n"/>
      <c r="G29" s="261" t="n"/>
      <c r="H29" s="261" t="n"/>
      <c r="I29" s="261" t="n"/>
      <c r="J29" s="261" t="n"/>
      <c r="K29" s="261" t="n"/>
      <c r="L29" s="261" t="n"/>
      <c r="N29" s="307" t="n"/>
      <c r="T29" s="294" t="n"/>
    </row>
    <row r="30" ht="14.1" customHeight="1" s="293">
      <c r="N30" s="307" t="n"/>
      <c r="T30" s="294" t="n"/>
    </row>
    <row r="31" ht="14.1" customHeight="1" s="293">
      <c r="N31" s="300" t="n"/>
      <c r="O31" s="298" t="n"/>
      <c r="P31" s="298" t="n"/>
      <c r="Q31" s="298" t="n"/>
      <c r="R31" s="298" t="n"/>
      <c r="S31" s="298" t="n"/>
      <c r="T31" s="299" t="n"/>
    </row>
    <row r="32" ht="23.2" customHeight="1" s="293">
      <c r="B32" s="335" t="inlineStr">
        <is>
          <t>If a loss-cut or profit-taking is triggered by your own conditions, 
(1) record the day's closing price &amp; the day's FX rate, 
(2) notify your execution by email to yshin57@skku.edu on the same day,  
(3) apply the recorded price &amp; FX rate on the valuation report 
(instead of applying the Friday's closing prices)</t>
        </is>
      </c>
      <c r="C32" s="296" t="n"/>
      <c r="D32" s="296" t="n"/>
      <c r="E32" s="296" t="n"/>
      <c r="F32" s="296" t="n"/>
      <c r="G32" s="296" t="n"/>
      <c r="H32" s="297" t="n"/>
      <c r="I32" s="277" t="n"/>
      <c r="J32" s="261" t="n"/>
      <c r="K32" s="278" t="n">
        <v>2026</v>
      </c>
      <c r="L32" s="304" t="n"/>
      <c r="M32" s="261" t="n"/>
    </row>
    <row r="33" ht="71" customHeight="1" s="293">
      <c r="B33" s="307" t="n"/>
      <c r="H33" s="294" t="n"/>
      <c r="I33" s="277" t="n"/>
      <c r="J33" s="261" t="n"/>
      <c r="K33" s="282" t="inlineStr">
        <is>
          <t>Valuation Report before 3pm on Monday</t>
        </is>
      </c>
      <c r="L33" s="282" t="inlineStr">
        <is>
          <t>Order Report before 3pm on Friday</t>
        </is>
      </c>
      <c r="M33" s="261" t="n"/>
    </row>
    <row r="34" ht="14.1" customHeight="1" s="293">
      <c r="B34" s="307" t="n"/>
      <c r="H34" s="294" t="n"/>
      <c r="I34" s="277" t="n"/>
      <c r="J34" s="261" t="n"/>
      <c r="K34" s="283" t="n"/>
      <c r="L34" s="336">
        <f>B4</f>
        <v/>
      </c>
      <c r="M34" s="245" t="n">
        <v>0</v>
      </c>
    </row>
    <row r="35" ht="14.1" customHeight="1" s="293">
      <c r="B35" s="307" t="n"/>
      <c r="H35" s="294" t="n"/>
      <c r="I35" s="277" t="n"/>
      <c r="J35" s="245" t="n">
        <v>0</v>
      </c>
      <c r="K35" s="336">
        <f>L34+3</f>
        <v/>
      </c>
      <c r="L35" s="336">
        <f>L34+7</f>
        <v/>
      </c>
      <c r="M35" s="245" t="n">
        <v>1</v>
      </c>
    </row>
    <row r="36" ht="14.1" customHeight="1" s="293">
      <c r="B36" s="307" t="n"/>
      <c r="H36" s="294" t="n"/>
      <c r="I36" s="277" t="n"/>
      <c r="J36" s="245" t="n">
        <v>1</v>
      </c>
      <c r="K36" s="336">
        <f>L35+3</f>
        <v/>
      </c>
      <c r="L36" s="336">
        <f>L35+7</f>
        <v/>
      </c>
      <c r="M36" s="245" t="n">
        <v>2</v>
      </c>
    </row>
    <row r="37" ht="14.1" customHeight="1" s="293">
      <c r="B37" s="307" t="n"/>
      <c r="H37" s="294" t="n"/>
      <c r="I37" s="277" t="n"/>
      <c r="J37" s="245" t="n">
        <v>2</v>
      </c>
      <c r="K37" s="336">
        <f>L36+3</f>
        <v/>
      </c>
      <c r="L37" s="336">
        <f>L36+7</f>
        <v/>
      </c>
      <c r="M37" s="245" t="n">
        <v>3</v>
      </c>
    </row>
    <row r="38" ht="14.1" customHeight="1" s="293">
      <c r="B38" s="307" t="n"/>
      <c r="H38" s="294" t="n"/>
      <c r="I38" s="277" t="n"/>
      <c r="J38" s="245" t="n">
        <v>3</v>
      </c>
      <c r="K38" s="336">
        <f>L37+3</f>
        <v/>
      </c>
      <c r="L38" s="336">
        <f>L37+7</f>
        <v/>
      </c>
      <c r="M38" s="245" t="n">
        <v>4</v>
      </c>
    </row>
    <row r="39" ht="14.1" customHeight="1" s="293">
      <c r="B39" s="307" t="n"/>
      <c r="H39" s="294" t="n"/>
      <c r="I39" s="277" t="n"/>
      <c r="J39" s="245" t="n">
        <v>4</v>
      </c>
      <c r="K39" s="336">
        <f>L38+3</f>
        <v/>
      </c>
      <c r="L39" s="336">
        <f>L38+7</f>
        <v/>
      </c>
      <c r="M39" s="245" t="n">
        <v>5</v>
      </c>
    </row>
    <row r="40" ht="14.1" customHeight="1" s="293">
      <c r="B40" s="307" t="n"/>
      <c r="H40" s="294" t="n"/>
      <c r="I40" s="277" t="n"/>
      <c r="J40" s="245" t="n">
        <v>5</v>
      </c>
      <c r="K40" s="336">
        <f>L39+3</f>
        <v/>
      </c>
      <c r="L40" s="336">
        <f>L39+7</f>
        <v/>
      </c>
      <c r="M40" s="245" t="n">
        <v>6</v>
      </c>
    </row>
    <row r="41" ht="14.1" customHeight="1" s="293">
      <c r="B41" s="300" t="n"/>
      <c r="C41" s="298" t="n"/>
      <c r="D41" s="298" t="n"/>
      <c r="E41" s="298" t="n"/>
      <c r="F41" s="298" t="n"/>
      <c r="G41" s="298" t="n"/>
      <c r="H41" s="299" t="n"/>
      <c r="I41" s="277" t="n"/>
      <c r="J41" s="245" t="n">
        <v>6</v>
      </c>
      <c r="K41" s="336">
        <f>L40+3</f>
        <v/>
      </c>
      <c r="L41" s="245" t="n"/>
      <c r="M41" s="261" t="n"/>
    </row>
  </sheetData>
  <mergeCells count="28">
    <mergeCell ref="B14:D14"/>
    <mergeCell ref="F18:H18"/>
    <mergeCell ref="B3:C3"/>
    <mergeCell ref="C8:I8"/>
    <mergeCell ref="B17:D17"/>
    <mergeCell ref="F17:H17"/>
    <mergeCell ref="B22:F22"/>
    <mergeCell ref="C1:I2"/>
    <mergeCell ref="B32:H41"/>
    <mergeCell ref="B21:I21"/>
    <mergeCell ref="A5:I5"/>
    <mergeCell ref="B11:I11"/>
    <mergeCell ref="K32:L32"/>
    <mergeCell ref="B23:F23"/>
    <mergeCell ref="B15:D15"/>
    <mergeCell ref="F14:H14"/>
    <mergeCell ref="N7:T31"/>
    <mergeCell ref="D26:L26"/>
    <mergeCell ref="A1:B2"/>
    <mergeCell ref="B16:D16"/>
    <mergeCell ref="F16:H16"/>
    <mergeCell ref="I16:L18"/>
    <mergeCell ref="B20:I20"/>
    <mergeCell ref="B18:D18"/>
    <mergeCell ref="A13:B13"/>
    <mergeCell ref="A6:I6"/>
    <mergeCell ref="F15:H15"/>
    <mergeCell ref="B4:C4"/>
  </mergeCells>
  <pageMargins left="0.7" right="0.7" top="0.75" bottom="0.75" header="0.3" footer="0.3"/>
  <pageSetup orientation="portrait" paperSize="13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Q41"/>
  <sheetViews>
    <sheetView tabSelected="1" zoomScale="82" zoomScaleNormal="82" workbookViewId="0">
      <pane xSplit="3" ySplit="4" topLeftCell="D14" activePane="bottomRight" state="frozenSplit"/>
      <selection activeCell="A1" sqref="A1"/>
      <selection pane="topRight" activeCell="A1" sqref="A1"/>
      <selection pane="bottomLeft" activeCell="A1" sqref="A1"/>
      <selection pane="bottomRight" activeCell="E35" sqref="E35:L35"/>
    </sheetView>
  </sheetViews>
  <sheetFormatPr baseColWidth="8" defaultColWidth="9" defaultRowHeight="16.8"/>
  <cols>
    <col width="14.25" customWidth="1" style="1" min="1" max="1"/>
    <col width="9" customWidth="1" style="1" min="2" max="2"/>
    <col width="8.375" customWidth="1" style="1" min="3" max="3"/>
    <col width="4" customWidth="1" style="1" min="4" max="4"/>
    <col width="18.5" customWidth="1" style="1" min="5" max="12"/>
    <col width="9" customWidth="1" style="1" min="13" max="16384"/>
  </cols>
  <sheetData>
    <row r="1" ht="16.5" customHeight="1" s="293">
      <c r="A1" s="172">
        <f>'Risk Mgmt'!A1</f>
        <v/>
      </c>
      <c r="D1" s="4" t="inlineStr">
        <is>
          <t>An Executive Summary for Investors: Strategy &amp; Order(s)</t>
        </is>
      </c>
      <c r="J1" s="7" t="inlineStr">
        <is>
          <t>as of</t>
        </is>
      </c>
      <c r="K1" s="8">
        <f>TEXT(B4,"YYYY-MM-DD")</f>
        <v/>
      </c>
    </row>
    <row r="2" ht="16.5" customHeight="1" s="293">
      <c r="A2" s="298" t="n"/>
      <c r="B2" s="298" t="n"/>
      <c r="C2" s="298" t="n"/>
      <c r="J2" s="298" t="n"/>
      <c r="K2" s="298" t="n"/>
      <c r="L2" s="298" t="n"/>
    </row>
    <row r="3">
      <c r="A3" s="9" t="inlineStr">
        <is>
          <t>Company</t>
        </is>
      </c>
      <c r="B3" s="337">
        <f>'Risk Mgmt'!B3</f>
        <v/>
      </c>
      <c r="C3" s="304" t="n"/>
      <c r="D3" s="12" t="n"/>
      <c r="F3" s="14" t="inlineStr">
        <is>
          <t>Loss-cut</t>
        </is>
      </c>
      <c r="G3" s="14" t="inlineStr">
        <is>
          <t>Profit-taking</t>
        </is>
      </c>
      <c r="H3" s="14" t="inlineStr">
        <is>
          <t>ETF</t>
        </is>
      </c>
      <c r="I3" s="14" t="inlineStr">
        <is>
          <t>Country</t>
        </is>
      </c>
      <c r="J3" s="15" t="inlineStr">
        <is>
          <t>Futures</t>
        </is>
      </c>
      <c r="K3" s="15" t="inlineStr">
        <is>
          <t>Options L</t>
        </is>
      </c>
      <c r="L3" s="15" t="inlineStr">
        <is>
          <t>Options S</t>
        </is>
      </c>
    </row>
    <row r="4">
      <c r="A4" s="9" t="inlineStr">
        <is>
          <t>Date</t>
        </is>
      </c>
      <c r="B4" s="302">
        <f>'Risk Mgmt'!B4</f>
        <v/>
      </c>
      <c r="C4" s="303" t="n"/>
      <c r="D4" s="18">
        <f>IF(WEEKDAY(B4)=1,"SUN",IF(WEEKDAY(B4)=2,"MON",IF(WEEKDAY(B4)=3,"TUE",IF(WEEKDAY(B4)=4,"WED",IF(WEEKDAY(B4)=5,"THU",IF(WEEKDAY(B4)=6,"FRI",IF(WEEKDAY(B4)=7,"SAT","-")))))))</f>
        <v/>
      </c>
      <c r="E4" s="19" t="inlineStr">
        <is>
          <t>before 3pm</t>
        </is>
      </c>
      <c r="F4" s="20">
        <f>'Risk Mgmt'!B7/100</f>
        <v/>
      </c>
      <c r="G4" s="20">
        <f>'Risk Mgmt'!B9/100</f>
        <v/>
      </c>
      <c r="H4" s="20">
        <f>'Risk Mgmt'!E14/100</f>
        <v/>
      </c>
      <c r="I4" s="20">
        <f>'Risk Mgmt'!E15/100</f>
        <v/>
      </c>
      <c r="J4" s="135">
        <f>'Risk Mgmt'!E16/100</f>
        <v/>
      </c>
      <c r="K4" s="135">
        <f>'Risk Mgmt'!E17/100</f>
        <v/>
      </c>
      <c r="L4" s="135">
        <f>'Risk Mgmt'!E18/100</f>
        <v/>
      </c>
    </row>
    <row r="5" ht="16.5" customHeight="1" s="293">
      <c r="A5" s="22" t="n"/>
      <c r="B5" s="338" t="n"/>
      <c r="C5" s="24" t="n"/>
      <c r="D5" s="25" t="n"/>
      <c r="E5" s="339" t="inlineStr">
        <is>
          <t>Important!   No longer than 5 lines in each box. (Column width: 9, Font Size: 11, MS Clear Gothic)
Line feed within a cell: Alt^Enter</t>
        </is>
      </c>
      <c r="F5" s="296" t="n"/>
      <c r="G5" s="296" t="n"/>
      <c r="H5" s="296" t="n"/>
      <c r="I5" s="296" t="n"/>
      <c r="J5" s="296" t="n"/>
      <c r="K5" s="296" t="n"/>
      <c r="L5" s="297" t="n"/>
    </row>
    <row r="6">
      <c r="A6" s="22" t="n"/>
      <c r="B6" s="338" t="n"/>
      <c r="C6" s="24" t="n"/>
      <c r="D6" s="25" t="n"/>
      <c r="E6" s="307" t="n"/>
      <c r="L6" s="294" t="n"/>
      <c r="N6" s="340" t="inlineStr">
        <is>
          <t>KRX-listed ETF code begins with letter A and ETN code begins with letter Q which prevent the codes from being read as numbers rather than  text. 
US ETFs' codes are using 2 ~ 4 alphebet characters.</t>
        </is>
      </c>
      <c r="O6" s="296" t="n"/>
      <c r="P6" s="296" t="n"/>
      <c r="Q6" s="297" t="n"/>
    </row>
    <row r="7">
      <c r="A7" s="341" t="inlineStr">
        <is>
          <t>Strategy</t>
        </is>
      </c>
      <c r="B7" s="342" t="inlineStr">
        <is>
          <t>Background</t>
        </is>
      </c>
      <c r="C7" s="297" t="n"/>
      <c r="D7" s="38" t="n">
        <v>1</v>
      </c>
      <c r="E7" s="343" t="inlineStr">
        <is>
          <t>The investment objective is to achieve stable long-term capital appreciation through a diversified ETF portfolio.</t>
        </is>
      </c>
      <c r="F7" s="296" t="n"/>
      <c r="G7" s="296" t="n"/>
      <c r="H7" s="296" t="n"/>
      <c r="I7" s="296" t="n"/>
      <c r="J7" s="296" t="n"/>
      <c r="K7" s="296" t="n"/>
      <c r="L7" s="297" t="n"/>
      <c r="N7" s="307" t="n"/>
      <c r="Q7" s="294" t="n"/>
    </row>
    <row r="8">
      <c r="A8" s="344" t="n"/>
      <c r="B8" s="307" t="n"/>
      <c r="C8" s="294" t="n"/>
      <c r="D8" s="3" t="n">
        <v>2</v>
      </c>
      <c r="E8" s="345" t="inlineStr">
        <is>
          <t>Investment decisions are based on a predefined strategic asset allocation rather than short-term market timing.</t>
        </is>
      </c>
      <c r="L8" s="294" t="n"/>
      <c r="N8" s="307" t="n"/>
      <c r="Q8" s="294" t="n"/>
    </row>
    <row r="9">
      <c r="A9" s="344" t="n"/>
      <c r="B9" s="307" t="n"/>
      <c r="C9" s="294" t="n"/>
      <c r="D9" s="3" t="n">
        <v>3</v>
      </c>
      <c r="E9" s="345" t="inlineStr">
        <is>
          <t>The portfolio combines broad-market exposure, structural growth opportunities, and defensive investments.</t>
        </is>
      </c>
      <c r="L9" s="294" t="n"/>
      <c r="N9" s="307" t="n"/>
      <c r="Q9" s="294" t="n"/>
    </row>
    <row r="10">
      <c r="A10" s="344" t="n"/>
      <c r="B10" s="307" t="n"/>
      <c r="C10" s="294" t="n"/>
      <c r="D10" s="3" t="n">
        <v>4</v>
      </c>
      <c r="E10" s="345" t="inlineStr">
        <is>
          <t>The investment universe consists of Korea- and U.S.-listed ETFs, with an initial capital of KRW 10 billion.</t>
        </is>
      </c>
      <c r="L10" s="294" t="n"/>
      <c r="N10" s="307" t="n"/>
      <c r="Q10" s="294" t="n"/>
    </row>
    <row r="11">
      <c r="A11" s="344" t="n"/>
      <c r="B11" s="300" t="n"/>
      <c r="C11" s="299" t="n"/>
      <c r="D11" s="6" t="n">
        <v>5</v>
      </c>
      <c r="E11" s="346" t="inlineStr">
        <is>
          <t>This approach seeks to balance return potential and portfolio risk through diversification and disciplined risk management.</t>
        </is>
      </c>
      <c r="F11" s="298" t="n"/>
      <c r="G11" s="298" t="n"/>
      <c r="H11" s="298" t="n"/>
      <c r="I11" s="298" t="n"/>
      <c r="J11" s="298" t="n"/>
      <c r="K11" s="298" t="n"/>
      <c r="L11" s="299" t="n"/>
      <c r="N11" s="307" t="n"/>
      <c r="Q11" s="294" t="n"/>
    </row>
    <row r="12">
      <c r="A12" s="344" t="n"/>
      <c r="B12" s="342" t="inlineStr">
        <is>
          <t>Reasonings</t>
        </is>
      </c>
      <c r="C12" s="297" t="n"/>
      <c r="D12" s="38" t="n">
        <v>1</v>
      </c>
      <c r="E12" s="345" t="inlineStr">
        <is>
          <t>The strategic allocation assigns 50% to core equity ETFs, 25% to growth-oriented ETFs, and 25% to defensive/value ETFs.</t>
        </is>
      </c>
      <c r="L12" s="294" t="n"/>
      <c r="N12" s="307" t="n"/>
      <c r="Q12" s="294" t="n"/>
    </row>
    <row r="13">
      <c r="A13" s="344" t="n"/>
      <c r="B13" s="307" t="n"/>
      <c r="C13" s="294" t="n"/>
      <c r="D13" s="3" t="n">
        <v>2</v>
      </c>
      <c r="E13" s="345" t="inlineStr">
        <is>
          <t>Core exposure is divided equally between the Korean and U.S. equity markets through KODEX 200 and SPY.</t>
        </is>
      </c>
      <c r="L13" s="294" t="n"/>
      <c r="N13" s="307" t="n"/>
      <c r="Q13" s="294" t="n"/>
    </row>
    <row r="14">
      <c r="A14" s="344" t="n"/>
      <c r="B14" s="307" t="n"/>
      <c r="C14" s="294" t="n"/>
      <c r="D14" s="3" t="n">
        <v>3</v>
      </c>
      <c r="E14" s="345" t="inlineStr">
        <is>
          <t>Growth exposure is allocated to semiconductor and cybersecurity ETFs to capture structural industry opportunities.</t>
        </is>
      </c>
      <c r="L14" s="294" t="n"/>
      <c r="N14" s="307" t="n"/>
      <c r="Q14" s="294" t="n"/>
    </row>
    <row r="15">
      <c r="A15" s="344" t="n"/>
      <c r="B15" s="307" t="n"/>
      <c r="C15" s="294" t="n"/>
      <c r="D15" s="3" t="n">
        <v>4</v>
      </c>
      <c r="E15" s="345" t="inlineStr">
        <is>
          <t>Defensive/value exposure combines short-term U.S. Treasury bills and dividend-oriented U.S. equities.</t>
        </is>
      </c>
      <c r="L15" s="294" t="n"/>
      <c r="N15" s="307" t="n"/>
      <c r="Q15" s="294" t="n"/>
    </row>
    <row r="16">
      <c r="A16" s="344" t="n"/>
      <c r="B16" s="300" t="n"/>
      <c r="C16" s="299" t="n"/>
      <c r="D16" s="6" t="n">
        <v>5</v>
      </c>
      <c r="E16" s="346" t="inlineStr">
        <is>
          <t>This allocation aims to diversify market and sector risks while maintaining exposure to long-term growth opportunities.</t>
        </is>
      </c>
      <c r="F16" s="298" t="n"/>
      <c r="G16" s="298" t="n"/>
      <c r="H16" s="298" t="n"/>
      <c r="I16" s="298" t="n"/>
      <c r="J16" s="298" t="n"/>
      <c r="K16" s="298" t="n"/>
      <c r="L16" s="299" t="n"/>
      <c r="N16" s="307" t="n"/>
      <c r="Q16" s="294" t="n"/>
    </row>
    <row r="17">
      <c r="A17" s="344" t="n"/>
      <c r="B17" s="342" t="inlineStr">
        <is>
          <t>Conclusions</t>
        </is>
      </c>
      <c r="C17" s="297" t="n"/>
      <c r="D17" s="38" t="n">
        <v>1</v>
      </c>
      <c r="E17" s="345" t="inlineStr">
        <is>
          <t>For the first trading week, the team adopts the predetermined strategic allocation across six ETFs.</t>
        </is>
      </c>
      <c r="L17" s="294" t="n"/>
      <c r="N17" s="307" t="n"/>
      <c r="Q17" s="294" t="n"/>
    </row>
    <row r="18">
      <c r="A18" s="344" t="n"/>
      <c r="B18" s="307" t="n"/>
      <c r="C18" s="294" t="n"/>
      <c r="D18" s="3" t="n">
        <v>2</v>
      </c>
      <c r="E18" s="345" t="inlineStr">
        <is>
          <t>The portfolio allocates 25% to KODEX 200, 25% to SPY, 15% to SMH, and 10% to CIBR.</t>
        </is>
      </c>
      <c r="L18" s="294" t="n"/>
      <c r="N18" s="307" t="n"/>
      <c r="Q18" s="294" t="n"/>
    </row>
    <row r="19">
      <c r="A19" s="344" t="n"/>
      <c r="B19" s="307" t="n"/>
      <c r="C19" s="294" t="n"/>
      <c r="D19" s="3" t="n">
        <v>3</v>
      </c>
      <c r="E19" s="345" t="inlineStr">
        <is>
          <t>The remaining 25% is allocated to BIL (10%) and SCHD (15%) for defensive and dividend-oriented exposure.</t>
        </is>
      </c>
      <c r="L19" s="294" t="n"/>
      <c r="N19" s="307" t="n"/>
      <c r="Q19" s="294" t="n"/>
    </row>
    <row r="20">
      <c r="A20" s="344" t="n"/>
      <c r="B20" s="307" t="n"/>
      <c r="C20" s="294" t="n"/>
      <c r="D20" s="3" t="n">
        <v>4</v>
      </c>
      <c r="E20" s="345" t="inlineStr">
        <is>
          <t>All initial positions are established through buy orders using whole-share quantities and the applicable market closing prices.</t>
        </is>
      </c>
      <c r="L20" s="294" t="n"/>
      <c r="N20" s="307" t="n"/>
      <c r="Q20" s="294" t="n"/>
    </row>
    <row r="21">
      <c r="A21" s="347" t="n"/>
      <c r="B21" s="300" t="n"/>
      <c r="C21" s="299" t="n"/>
      <c r="D21" s="6" t="n">
        <v>5</v>
      </c>
      <c r="E21" s="346" t="inlineStr">
        <is>
          <t>Subsequent performance and risk exposure will be monitored through weekly portfolio valuation and team-approved risk management rules.</t>
        </is>
      </c>
      <c r="F21" s="298" t="n"/>
      <c r="G21" s="298" t="n"/>
      <c r="H21" s="298" t="n"/>
      <c r="I21" s="298" t="n"/>
      <c r="J21" s="298" t="n"/>
      <c r="K21" s="298" t="n"/>
      <c r="L21" s="299" t="n"/>
      <c r="N21" s="300" t="n"/>
      <c r="O21" s="298" t="n"/>
      <c r="P21" s="298" t="n"/>
      <c r="Q21" s="299" t="n"/>
    </row>
    <row r="22"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348" t="inlineStr">
        <is>
          <t>MOC(Market-on-Close) Orders</t>
        </is>
      </c>
      <c r="B23" s="303" t="n"/>
      <c r="C23" s="304" t="n"/>
      <c r="D23" s="63" t="n"/>
      <c r="E23" s="64" t="n">
        <v>1</v>
      </c>
      <c r="F23" s="65" t="n">
        <v>2</v>
      </c>
      <c r="G23" s="64" t="n">
        <v>3</v>
      </c>
      <c r="H23" s="64" t="n">
        <v>4</v>
      </c>
      <c r="I23" s="64" t="n">
        <v>5</v>
      </c>
      <c r="J23" s="64" t="n">
        <v>6</v>
      </c>
      <c r="K23" s="64" t="n">
        <v>7</v>
      </c>
      <c r="L23" s="65" t="n">
        <v>8</v>
      </c>
    </row>
    <row r="24" ht="20.4" customHeight="1" s="293">
      <c r="A24" s="66" t="n"/>
      <c r="B24" s="349" t="inlineStr">
        <is>
          <t>Buy or Sell</t>
        </is>
      </c>
      <c r="C24" s="297" t="n"/>
      <c r="D24" s="63" t="n"/>
      <c r="E24" s="149" t="inlineStr">
        <is>
          <t>Buy</t>
        </is>
      </c>
      <c r="F24" s="150" t="inlineStr">
        <is>
          <t>Buy</t>
        </is>
      </c>
      <c r="G24" s="150" t="inlineStr">
        <is>
          <t>Buy</t>
        </is>
      </c>
      <c r="H24" s="149" t="inlineStr">
        <is>
          <t>Buy</t>
        </is>
      </c>
      <c r="I24" s="149" t="inlineStr">
        <is>
          <t>Buy</t>
        </is>
      </c>
      <c r="J24" s="149" t="inlineStr">
        <is>
          <t>Buy</t>
        </is>
      </c>
      <c r="K24" s="67" t="n"/>
      <c r="L24" s="68" t="n"/>
    </row>
    <row r="25">
      <c r="A25" s="69" t="inlineStr">
        <is>
          <t>Product Name</t>
        </is>
      </c>
      <c r="B25" s="303" t="n"/>
      <c r="C25" s="304" t="n"/>
      <c r="D25" s="13" t="n"/>
      <c r="E25" s="151" t="inlineStr">
        <is>
          <t>KODEX 200</t>
        </is>
      </c>
      <c r="F25" s="152" t="inlineStr">
        <is>
          <t>SPDR S&amp;P 500 ETF Trust</t>
        </is>
      </c>
      <c r="G25" s="152" t="inlineStr">
        <is>
          <t>VanEck Semiconductor ETF</t>
        </is>
      </c>
      <c r="H25" s="149" t="inlineStr">
        <is>
          <t>First Trust Nasdaq Cybersecurity ETF</t>
        </is>
      </c>
      <c r="I25" s="149" t="inlineStr">
        <is>
          <t>SPDR Bloomberg 1-3 Month T-Bill ETF</t>
        </is>
      </c>
      <c r="J25" s="149" t="inlineStr">
        <is>
          <t>Schwab U.S. Dividend Equity ETF</t>
        </is>
      </c>
      <c r="K25" s="67" t="n"/>
      <c r="L25" s="68" t="n"/>
    </row>
    <row r="26">
      <c r="A26" s="69" t="inlineStr">
        <is>
          <t>Product Code</t>
        </is>
      </c>
      <c r="B26" s="303" t="n"/>
      <c r="C26" s="304" t="n"/>
      <c r="D26" s="13" t="n"/>
      <c r="E26" s="149" t="inlineStr">
        <is>
          <t>A069500</t>
        </is>
      </c>
      <c r="F26" s="150" t="inlineStr">
        <is>
          <t>SPY</t>
        </is>
      </c>
      <c r="G26" s="150" t="inlineStr">
        <is>
          <t>SMH</t>
        </is>
      </c>
      <c r="H26" s="149" t="inlineStr">
        <is>
          <t>CIBR</t>
        </is>
      </c>
      <c r="I26" s="149" t="inlineStr">
        <is>
          <t>BIL</t>
        </is>
      </c>
      <c r="J26" s="149" t="inlineStr">
        <is>
          <t>SCHD</t>
        </is>
      </c>
      <c r="K26" s="67" t="n"/>
      <c r="L26" s="68" t="n"/>
    </row>
    <row r="27">
      <c r="A27" s="350" t="inlineStr">
        <is>
          <t>Product Type (ETF/Futures/Options)</t>
        </is>
      </c>
      <c r="B27" s="303" t="n"/>
      <c r="C27" s="304" t="n"/>
      <c r="D27" s="13" t="n"/>
      <c r="E27" s="149" t="inlineStr">
        <is>
          <t>ETF</t>
        </is>
      </c>
      <c r="F27" s="149" t="inlineStr">
        <is>
          <t>ETF</t>
        </is>
      </c>
      <c r="G27" s="149" t="inlineStr">
        <is>
          <t>ETF</t>
        </is>
      </c>
      <c r="H27" s="153" t="inlineStr">
        <is>
          <t>ETF</t>
        </is>
      </c>
      <c r="I27" s="149" t="inlineStr">
        <is>
          <t>ETF</t>
        </is>
      </c>
      <c r="J27" s="149" t="inlineStr">
        <is>
          <t>ETF</t>
        </is>
      </c>
      <c r="K27" s="67" t="n"/>
      <c r="L27" s="68" t="n"/>
    </row>
    <row r="28" ht="17" customHeight="1" s="293">
      <c r="A28" s="69" t="inlineStr">
        <is>
          <t>Size (shares, contracts)</t>
        </is>
      </c>
      <c r="B28" s="303" t="n"/>
      <c r="C28" s="304" t="n"/>
      <c r="D28" s="13" t="n"/>
      <c r="E28" s="154" t="n">
        <v>23663</v>
      </c>
      <c r="F28" s="155" t="n">
        <v>2400</v>
      </c>
      <c r="G28" s="155" t="n">
        <v>1790</v>
      </c>
      <c r="H28" s="156" t="n">
        <v>7001</v>
      </c>
      <c r="I28" s="156" t="n">
        <v>8159</v>
      </c>
      <c r="J28" s="156" t="n">
        <v>34286</v>
      </c>
      <c r="K28" s="77" t="n"/>
      <c r="L28" s="157" t="n"/>
    </row>
    <row r="29" ht="17" customHeight="1" s="293">
      <c r="A29" s="351" t="inlineStr">
        <is>
          <t>Multiple (Futures&amp;Options only)</t>
        </is>
      </c>
      <c r="B29" s="303" t="n"/>
      <c r="C29" s="304" t="n"/>
      <c r="D29" s="13" t="n"/>
      <c r="E29" s="153" t="n">
        <v>1</v>
      </c>
      <c r="F29" s="352" t="n">
        <v>1</v>
      </c>
      <c r="G29" s="159" t="n">
        <v>1</v>
      </c>
      <c r="H29" s="153" t="n">
        <v>1</v>
      </c>
      <c r="I29" s="153" t="n">
        <v>1</v>
      </c>
      <c r="J29" s="153" t="n">
        <v>1</v>
      </c>
      <c r="K29" s="81" t="n"/>
      <c r="L29" s="160" t="n"/>
    </row>
    <row r="30">
      <c r="A30" s="69" t="inlineStr">
        <is>
          <t>Price</t>
        </is>
      </c>
      <c r="B30" s="303" t="n"/>
      <c r="C30" s="304" t="n"/>
      <c r="D30" s="13" t="n"/>
      <c r="E30" s="161" t="n">
        <v>105650</v>
      </c>
      <c r="F30" s="85" t="inlineStr">
        <is>
          <t>Friday's closing Price</t>
        </is>
      </c>
      <c r="G30" s="85" t="inlineStr">
        <is>
          <t>Friday's closing Price</t>
        </is>
      </c>
      <c r="H30" s="85" t="inlineStr">
        <is>
          <t>Friday's closing Price</t>
        </is>
      </c>
      <c r="I30" s="85" t="inlineStr">
        <is>
          <t>Friday's closing Price</t>
        </is>
      </c>
      <c r="J30" s="85" t="inlineStr">
        <is>
          <t>Friday's closing Price</t>
        </is>
      </c>
      <c r="K30" s="85" t="inlineStr">
        <is>
          <t>Friday's closing Price</t>
        </is>
      </c>
      <c r="L30" s="85" t="inlineStr">
        <is>
          <t>Friday's closing Price</t>
        </is>
      </c>
    </row>
    <row r="31" ht="17" customHeight="1" s="293">
      <c r="A31" s="83" t="inlineStr">
        <is>
          <t>FX (exchange rate)</t>
        </is>
      </c>
      <c r="B31" s="303" t="n"/>
      <c r="C31" s="304" t="n"/>
      <c r="D31" s="13" t="n"/>
      <c r="E31" s="161" t="n">
        <v>1</v>
      </c>
      <c r="F31" s="85" t="inlineStr">
        <is>
          <t>Friday's closing FX rate</t>
        </is>
      </c>
      <c r="G31" s="85" t="inlineStr">
        <is>
          <t>Friday's closing FX rate</t>
        </is>
      </c>
      <c r="H31" s="85" t="inlineStr">
        <is>
          <t>Friday's closing FX rate</t>
        </is>
      </c>
      <c r="I31" s="85" t="inlineStr">
        <is>
          <t>Friday's closing FX rate</t>
        </is>
      </c>
      <c r="J31" s="85" t="inlineStr">
        <is>
          <t>Friday's closing FX rate</t>
        </is>
      </c>
      <c r="K31" s="85" t="inlineStr">
        <is>
          <t>Friday's closing FX rate</t>
        </is>
      </c>
      <c r="L31" s="85" t="inlineStr">
        <is>
          <t>Friday's closing FX rate</t>
        </is>
      </c>
    </row>
    <row r="32">
      <c r="A32" s="86" t="inlineStr">
        <is>
          <t>Size Check</t>
        </is>
      </c>
      <c r="B32" s="303" t="n"/>
      <c r="C32" s="303" t="n"/>
      <c r="D32" s="13" t="n"/>
      <c r="E32" s="87">
        <f>IF(E28=0,"",IF(E28&lt;25%*E33,"OK","Too Big!"))</f>
        <v/>
      </c>
      <c r="F32" s="87">
        <f>IF(F28=0,"",IF(F28&lt;25%*F33,"OK","Too Big!"))</f>
        <v/>
      </c>
      <c r="G32" s="87">
        <f>IF(G28=0,"",IF(G28&lt;25%*G33,"OK","Too Big!"))</f>
        <v/>
      </c>
      <c r="H32" s="87">
        <f>IF(H28=0,"",IF(H28&lt;25%*H33,"OK","Too Big!"))</f>
        <v/>
      </c>
      <c r="I32" s="87">
        <f>IF(I28=0,"",IF(I28&lt;25%*I33,"OK","Too Big!"))</f>
        <v/>
      </c>
      <c r="J32" s="87">
        <f>IF(J28=0,"",IF(J28&lt;25%*J33,"OK","Too Big!"))</f>
        <v/>
      </c>
      <c r="K32" s="87">
        <f>IF(K28=0,"",IF(K28&lt;25%*K33,"OK","Too Big!"))</f>
        <v/>
      </c>
      <c r="L32" s="162">
        <f>IF(L28=0,"",IF(L28&lt;25%*L33,"OK","Too Big!"))</f>
        <v/>
      </c>
    </row>
    <row r="33">
      <c r="A33" s="88" t="inlineStr">
        <is>
          <t>Previous Thursday's daily trading volume (shares/contracts)</t>
        </is>
      </c>
      <c r="B33" s="296" t="n"/>
      <c r="C33" s="297" t="n"/>
      <c r="D33" s="13" t="n"/>
      <c r="E33" s="353" t="n">
        <v>23139645</v>
      </c>
      <c r="F33" s="353" t="n">
        <v>34363355</v>
      </c>
      <c r="G33" s="353" t="n">
        <v>10886720</v>
      </c>
      <c r="H33" s="353" t="n">
        <v>1781429</v>
      </c>
      <c r="I33" s="353" t="n">
        <v>2951266</v>
      </c>
      <c r="J33" s="353" t="n">
        <v>23506901</v>
      </c>
      <c r="K33" s="353" t="n"/>
      <c r="L33" s="354" t="n"/>
    </row>
    <row r="34">
      <c r="A34" s="300" t="n"/>
      <c r="B34" s="298" t="n"/>
      <c r="C34" s="299" t="n"/>
      <c r="D34" s="13" t="n"/>
      <c r="E34" s="300" t="n"/>
      <c r="F34" s="300" t="n"/>
      <c r="G34" s="300" t="n"/>
      <c r="H34" s="300" t="n"/>
      <c r="I34" s="300" t="n"/>
      <c r="J34" s="300" t="n"/>
      <c r="K34" s="300" t="n"/>
      <c r="L34" s="347" t="n"/>
    </row>
    <row r="35">
      <c r="A35" s="92">
        <f>'Risk Mgmt'!A25</f>
        <v/>
      </c>
      <c r="B35" s="93">
        <f>'Risk Mgmt'!B25</f>
        <v/>
      </c>
      <c r="C35" s="165" t="n"/>
      <c r="D35" s="13" t="n"/>
      <c r="E35" s="355" t="inlineStr">
        <is>
          <t>Adjust your order size to keep it smaller than a 25% of previous Thursday's trading volume of each interest.</t>
        </is>
      </c>
      <c r="F35" s="303" t="n"/>
      <c r="G35" s="303" t="n"/>
      <c r="H35" s="303" t="n"/>
      <c r="I35" s="303" t="n"/>
      <c r="J35" s="303" t="n"/>
      <c r="K35" s="303" t="n"/>
      <c r="L35" s="304" t="n"/>
    </row>
    <row r="36" ht="16.5" customHeight="1" s="293">
      <c r="A36" s="97">
        <f>'Risk Mgmt'!A26</f>
        <v/>
      </c>
      <c r="B36" s="68">
        <f>'Risk Mgmt'!B26</f>
        <v/>
      </c>
      <c r="C36" s="68">
        <f>'Risk Mgmt'!C26</f>
        <v/>
      </c>
      <c r="D36" s="98" t="n"/>
      <c r="E36" s="356" t="inlineStr">
        <is>
          <t>[Normal Case] Total Investment &lt; KRW 10 billion --&gt; Remaining Cash Balance earns an interest of 0.035% per week.  
[Leverage Case] Total Investment &gt; KRW 10 billion --&gt;The amount over the budget (KRW 10 billion) incurs financing cost: 0.070% per week.</t>
        </is>
      </c>
      <c r="F36" s="296" t="n"/>
      <c r="G36" s="296" t="n"/>
      <c r="H36" s="296" t="n"/>
      <c r="I36" s="296" t="n"/>
      <c r="J36" s="296" t="n"/>
      <c r="K36" s="296" t="n"/>
      <c r="L36" s="297" t="n"/>
    </row>
    <row r="37" ht="16.5" customHeight="1" s="293">
      <c r="A37" s="97">
        <f>'Risk Mgmt'!A27</f>
        <v/>
      </c>
      <c r="B37" s="68">
        <f>'Risk Mgmt'!B27</f>
        <v/>
      </c>
      <c r="C37" s="68">
        <f>'Risk Mgmt'!C27</f>
        <v/>
      </c>
      <c r="D37" s="98" t="n"/>
      <c r="E37" s="307" t="n"/>
      <c r="L37" s="294" t="n"/>
    </row>
    <row r="38" ht="16.5" customHeight="1" s="293">
      <c r="A38" s="97">
        <f>'Risk Mgmt'!A28</f>
        <v/>
      </c>
      <c r="B38" s="68">
        <f>'Risk Mgmt'!B28</f>
        <v/>
      </c>
      <c r="C38" s="68">
        <f>'Risk Mgmt'!C28</f>
        <v/>
      </c>
      <c r="D38" s="105" t="n"/>
      <c r="E38" s="300" t="n"/>
      <c r="F38" s="298" t="n"/>
      <c r="G38" s="298" t="n"/>
      <c r="H38" s="298" t="n"/>
      <c r="I38" s="298" t="n"/>
      <c r="J38" s="298" t="n"/>
      <c r="K38" s="298" t="n"/>
      <c r="L38" s="299" t="n"/>
    </row>
    <row r="39" ht="16.5" customHeight="1" s="293">
      <c r="A39" s="97">
        <f>'Risk Mgmt'!A29</f>
        <v/>
      </c>
      <c r="B39" s="68">
        <f>'Risk Mgmt'!B29</f>
        <v/>
      </c>
      <c r="C39" s="68">
        <f>'Risk Mgmt'!C29</f>
        <v/>
      </c>
      <c r="D39" s="105" t="n"/>
      <c r="E39" s="357" t="inlineStr">
        <is>
          <t>Check if your orders are in compliance with your team's (self-made) risk management rules!</t>
        </is>
      </c>
      <c r="F39" s="303" t="n"/>
      <c r="G39" s="303" t="n"/>
      <c r="H39" s="303" t="n"/>
      <c r="I39" s="303" t="n"/>
      <c r="J39" s="303" t="n"/>
      <c r="K39" s="303" t="n"/>
      <c r="L39" s="304" t="n"/>
    </row>
    <row r="40" ht="14.25" customHeight="1" s="293">
      <c r="A40" s="112" t="n"/>
      <c r="B40" s="112" t="n"/>
      <c r="C40" s="112" t="n"/>
    </row>
    <row r="41">
      <c r="H41" s="166" t="n"/>
    </row>
  </sheetData>
  <mergeCells count="49">
    <mergeCell ref="A25:C25"/>
    <mergeCell ref="E12:L12"/>
    <mergeCell ref="E18:L18"/>
    <mergeCell ref="E21:L21"/>
    <mergeCell ref="K33:K34"/>
    <mergeCell ref="B3:C3"/>
    <mergeCell ref="E33:E34"/>
    <mergeCell ref="A27:C27"/>
    <mergeCell ref="B7:C11"/>
    <mergeCell ref="E14:L14"/>
    <mergeCell ref="A26:C26"/>
    <mergeCell ref="E39:L39"/>
    <mergeCell ref="E8:L8"/>
    <mergeCell ref="E17:L17"/>
    <mergeCell ref="E35:L35"/>
    <mergeCell ref="D1:I2"/>
    <mergeCell ref="E20:L20"/>
    <mergeCell ref="A7:A21"/>
    <mergeCell ref="A23:C23"/>
    <mergeCell ref="A32:C32"/>
    <mergeCell ref="B12:C16"/>
    <mergeCell ref="L33:L34"/>
    <mergeCell ref="A1:C2"/>
    <mergeCell ref="E10:L10"/>
    <mergeCell ref="F33:F34"/>
    <mergeCell ref="N6:Q21"/>
    <mergeCell ref="E13:L13"/>
    <mergeCell ref="E19:L19"/>
    <mergeCell ref="A29:C29"/>
    <mergeCell ref="I33:I34"/>
    <mergeCell ref="A28:C28"/>
    <mergeCell ref="E9:L9"/>
    <mergeCell ref="B17:C21"/>
    <mergeCell ref="G33:G34"/>
    <mergeCell ref="E15:L15"/>
    <mergeCell ref="A31:C31"/>
    <mergeCell ref="E11:L11"/>
    <mergeCell ref="A30:C30"/>
    <mergeCell ref="E36:L38"/>
    <mergeCell ref="E5:L6"/>
    <mergeCell ref="B24:C24"/>
    <mergeCell ref="E7:L7"/>
    <mergeCell ref="H33:H34"/>
    <mergeCell ref="J33:J34"/>
    <mergeCell ref="E16:L16"/>
    <mergeCell ref="K1:L2"/>
    <mergeCell ref="A33:C34"/>
    <mergeCell ref="J1:J2"/>
    <mergeCell ref="B4:C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Q40"/>
  <sheetViews>
    <sheetView zoomScale="80" zoomScaleNormal="80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E33" sqref="E33:E34"/>
    </sheetView>
  </sheetViews>
  <sheetFormatPr baseColWidth="8" defaultColWidth="9" defaultRowHeight="16.8"/>
  <cols>
    <col width="14.25" customWidth="1" style="1" min="1" max="1"/>
    <col width="9" customWidth="1" style="1" min="2" max="3"/>
    <col width="4" customWidth="1" style="1" min="4" max="4"/>
    <col width="18.5" customWidth="1" style="1" min="5" max="12"/>
    <col width="9" customWidth="1" style="1" min="13" max="16384"/>
  </cols>
  <sheetData>
    <row r="1" ht="16.5" customHeight="1" s="293">
      <c r="A1" s="172">
        <f>'Risk Mgmt'!A1</f>
        <v/>
      </c>
      <c r="D1" s="4" t="inlineStr">
        <is>
          <t>An Executive Summary for Investors: Strategy &amp; Order(s)</t>
        </is>
      </c>
      <c r="J1" s="7" t="inlineStr">
        <is>
          <t>as of</t>
        </is>
      </c>
      <c r="K1" s="8">
        <f>TEXT(B4,"YYYY-MM-DD")</f>
        <v/>
      </c>
    </row>
    <row r="2" ht="16.5" customHeight="1" s="293">
      <c r="A2" s="298" t="n"/>
      <c r="B2" s="298" t="n"/>
      <c r="C2" s="298" t="n"/>
      <c r="J2" s="298" t="n"/>
      <c r="K2" s="298" t="n"/>
      <c r="L2" s="298" t="n"/>
    </row>
    <row r="3">
      <c r="A3" s="9" t="inlineStr">
        <is>
          <t>Company</t>
        </is>
      </c>
      <c r="B3" s="337">
        <f>'Risk Mgmt'!B3</f>
        <v/>
      </c>
      <c r="C3" s="304" t="n"/>
      <c r="D3" s="12" t="n"/>
      <c r="E3" s="13" t="n"/>
      <c r="F3" s="14" t="inlineStr">
        <is>
          <t>Loss-cut</t>
        </is>
      </c>
      <c r="G3" s="14" t="inlineStr">
        <is>
          <t>Profit-taking</t>
        </is>
      </c>
      <c r="H3" s="14" t="inlineStr">
        <is>
          <t>ETF</t>
        </is>
      </c>
      <c r="I3" s="14" t="inlineStr">
        <is>
          <t>Country</t>
        </is>
      </c>
      <c r="J3" s="15" t="inlineStr">
        <is>
          <t>Futures</t>
        </is>
      </c>
      <c r="K3" s="15" t="inlineStr">
        <is>
          <t>Options L</t>
        </is>
      </c>
      <c r="L3" s="15" t="inlineStr">
        <is>
          <t>Options S</t>
        </is>
      </c>
    </row>
    <row r="4">
      <c r="A4" s="9" t="inlineStr">
        <is>
          <t>Date</t>
        </is>
      </c>
      <c r="B4" s="358">
        <f>'09-Oct'!B4+7</f>
        <v/>
      </c>
      <c r="C4" s="304" t="n"/>
      <c r="D4" s="18">
        <f>IF(WEEKDAY(B4)=1,"SUN",IF(WEEKDAY(B4)=2,"MON",IF(WEEKDAY(B4)=3,"TUE",IF(WEEKDAY(B4)=4,"WED",IF(WEEKDAY(B4)=5,"THU",IF(WEEKDAY(B4)=6,"FRI",IF(WEEKDAY(B4)=7,"SAT","-")))))))</f>
        <v/>
      </c>
      <c r="E4" s="19" t="inlineStr">
        <is>
          <t>before 3pm</t>
        </is>
      </c>
      <c r="F4" s="20">
        <f>'09-Oct'!F4</f>
        <v/>
      </c>
      <c r="G4" s="20">
        <f>'09-Oct'!G4</f>
        <v/>
      </c>
      <c r="H4" s="20">
        <f>'09-Oct'!H4</f>
        <v/>
      </c>
      <c r="I4" s="20">
        <f>'09-Oct'!I4</f>
        <v/>
      </c>
      <c r="J4" s="135">
        <f>'09-Oct'!J4</f>
        <v/>
      </c>
      <c r="K4" s="135">
        <f>'09-Oct'!K4</f>
        <v/>
      </c>
      <c r="L4" s="135">
        <f>'09-Oct'!L4</f>
        <v/>
      </c>
    </row>
    <row r="5" ht="16.5" customHeight="1" s="293">
      <c r="A5" s="22" t="n"/>
      <c r="B5" s="338" t="n"/>
      <c r="C5" s="24" t="n"/>
      <c r="D5" s="25" t="n"/>
      <c r="E5" s="359" t="inlineStr">
        <is>
          <t>Important!   No longer than 5 lines in each box. (Column width: 9, Font Size: 11, MS Clear Gothic)
Line feed within a cell: Alt^Enter</t>
        </is>
      </c>
      <c r="F5" s="296" t="n"/>
      <c r="G5" s="296" t="n"/>
      <c r="H5" s="296" t="n"/>
      <c r="I5" s="296" t="n"/>
      <c r="J5" s="296" t="n"/>
      <c r="K5" s="296" t="n"/>
      <c r="L5" s="297" t="n"/>
    </row>
    <row r="6" ht="14.1" customHeight="1" s="293">
      <c r="A6" s="22" t="n"/>
      <c r="B6" s="338" t="n"/>
      <c r="C6" s="24" t="n"/>
      <c r="D6" s="25" t="n"/>
      <c r="E6" s="300" t="n"/>
      <c r="F6" s="298" t="n"/>
      <c r="G6" s="298" t="n"/>
      <c r="H6" s="298" t="n"/>
      <c r="I6" s="298" t="n"/>
      <c r="J6" s="298" t="n"/>
      <c r="K6" s="298" t="n"/>
      <c r="L6" s="299" t="n"/>
      <c r="N6" s="340" t="inlineStr">
        <is>
          <t>KRX-listed ETF code begins with letter A and ETN code begins with letter Q which prevent the codes from being read as numbers rather than  text. 
US ETFs' codes are using 2 ~ 4 alphebet characters.</t>
        </is>
      </c>
      <c r="O6" s="296" t="n"/>
      <c r="P6" s="296" t="n"/>
      <c r="Q6" s="297" t="n"/>
    </row>
    <row r="7" ht="14.1" customHeight="1" s="293">
      <c r="A7" s="341" t="inlineStr">
        <is>
          <t>Strategy</t>
        </is>
      </c>
      <c r="B7" s="342" t="inlineStr">
        <is>
          <t>Background</t>
        </is>
      </c>
      <c r="C7" s="297" t="n"/>
      <c r="D7" s="38" t="n">
        <v>1</v>
      </c>
      <c r="E7" s="360" t="inlineStr">
        <is>
          <t>On Oct 15 the KOSPI fell 7.6% (circuit breaker, 7th straight loss); KOSPI200 lost 17.6% in a week.
Drivers: doubts on AI-investment returns, Chinese memory supply (CXMT) and foreign selling of chips.
U.S. September CPI rose 3.7% (core +0.3% m/m), lifting the odds of an October Fed hike to about 50%.
Brent oil stayed above USD 100 on Middle East tensions; the U.S. dollar touched an 18-month high.
U.S. large caps held up (S&amp;P 500 about -1% in a week) while health care and staples sectors rose.</t>
        </is>
      </c>
      <c r="F7" s="296" t="n"/>
      <c r="G7" s="296" t="n"/>
      <c r="H7" s="296" t="n"/>
      <c r="I7" s="296" t="n"/>
      <c r="J7" s="296" t="n"/>
      <c r="K7" s="296" t="n"/>
      <c r="L7" s="297" t="n"/>
      <c r="N7" s="307" t="n"/>
      <c r="Q7" s="294" t="n"/>
    </row>
    <row r="8" ht="14.1" customHeight="1" s="293">
      <c r="A8" s="344" t="n"/>
      <c r="B8" s="307" t="n"/>
      <c r="C8" s="294" t="n"/>
      <c r="D8" s="3" t="n">
        <v>2</v>
      </c>
      <c r="E8" s="307" t="n"/>
      <c r="L8" s="294" t="n"/>
      <c r="N8" s="307" t="n"/>
      <c r="Q8" s="294" t="n"/>
    </row>
    <row r="9" ht="14.1" customHeight="1" s="293">
      <c r="A9" s="344" t="n"/>
      <c r="B9" s="307" t="n"/>
      <c r="C9" s="294" t="n"/>
      <c r="D9" s="3" t="n">
        <v>3</v>
      </c>
      <c r="E9" s="307" t="n"/>
      <c r="L9" s="294" t="n"/>
      <c r="N9" s="307" t="n"/>
      <c r="Q9" s="294" t="n"/>
    </row>
    <row r="10" ht="14.1" customHeight="1" s="293">
      <c r="A10" s="344" t="n"/>
      <c r="B10" s="307" t="n"/>
      <c r="C10" s="294" t="n"/>
      <c r="D10" s="3" t="n">
        <v>4</v>
      </c>
      <c r="E10" s="307" t="n"/>
      <c r="L10" s="294" t="n"/>
      <c r="N10" s="307" t="n"/>
      <c r="Q10" s="294" t="n"/>
    </row>
    <row r="11" ht="14.1" customHeight="1" s="293">
      <c r="A11" s="344" t="n"/>
      <c r="B11" s="300" t="n"/>
      <c r="C11" s="299" t="n"/>
      <c r="D11" s="6" t="n">
        <v>5</v>
      </c>
      <c r="E11" s="300" t="n"/>
      <c r="F11" s="298" t="n"/>
      <c r="G11" s="298" t="n"/>
      <c r="H11" s="298" t="n"/>
      <c r="I11" s="298" t="n"/>
      <c r="J11" s="298" t="n"/>
      <c r="K11" s="298" t="n"/>
      <c r="L11" s="299" t="n"/>
      <c r="N11" s="307" t="n"/>
      <c r="Q11" s="294" t="n"/>
    </row>
    <row r="12" ht="14.1" customHeight="1" s="293">
      <c r="A12" s="344" t="n"/>
      <c r="B12" s="342" t="inlineStr">
        <is>
          <t>Reasonings</t>
        </is>
      </c>
      <c r="C12" s="297" t="n"/>
      <c r="D12" s="38" t="n">
        <v>1</v>
      </c>
      <c r="E12" s="360" t="inlineStr">
        <is>
          <t>Our -10% loss-cut on KODEX 200 is settled at the Oct 14 close (KRW 94,805), per your instruction.
No re-entry into Korea this week: 20-day volatility of 44% would heavily penalize U = E(r) - 0.5*A*s^2.
SMH and CIBR are near their loss-cut lines and share AI/tech risk, so we trim both to about 5% of NAV.
XLV and XLP offer low volatility and positive momentum; XLE hedges inflation and oil-price risk.
About 25% in KRW cash lowers portfolio volatility and funds a staged re-entry when conditions improve.</t>
        </is>
      </c>
      <c r="F12" s="296" t="n"/>
      <c r="G12" s="296" t="n"/>
      <c r="H12" s="296" t="n"/>
      <c r="I12" s="296" t="n"/>
      <c r="J12" s="296" t="n"/>
      <c r="K12" s="296" t="n"/>
      <c r="L12" s="297" t="n"/>
      <c r="N12" s="307" t="n"/>
      <c r="Q12" s="294" t="n"/>
    </row>
    <row r="13" ht="14.1" customHeight="1" s="293">
      <c r="A13" s="344" t="n"/>
      <c r="B13" s="307" t="n"/>
      <c r="C13" s="294" t="n"/>
      <c r="D13" s="3" t="n">
        <v>2</v>
      </c>
      <c r="E13" s="307" t="n"/>
      <c r="L13" s="294" t="n"/>
      <c r="N13" s="307" t="n"/>
      <c r="Q13" s="294" t="n"/>
    </row>
    <row r="14" ht="14.1" customHeight="1" s="293">
      <c r="A14" s="344" t="n"/>
      <c r="B14" s="307" t="n"/>
      <c r="C14" s="294" t="n"/>
      <c r="D14" s="3" t="n">
        <v>3</v>
      </c>
      <c r="E14" s="307" t="n"/>
      <c r="L14" s="294" t="n"/>
      <c r="N14" s="307" t="n"/>
      <c r="Q14" s="294" t="n"/>
    </row>
    <row r="15" ht="14.1" customHeight="1" s="293">
      <c r="A15" s="344" t="n"/>
      <c r="B15" s="307" t="n"/>
      <c r="C15" s="294" t="n"/>
      <c r="D15" s="3" t="n">
        <v>4</v>
      </c>
      <c r="E15" s="307" t="n"/>
      <c r="L15" s="294" t="n"/>
      <c r="N15" s="307" t="n"/>
      <c r="Q15" s="294" t="n"/>
    </row>
    <row r="16" ht="14.1" customHeight="1" s="293">
      <c r="A16" s="344" t="n"/>
      <c r="B16" s="300" t="n"/>
      <c r="C16" s="299" t="n"/>
      <c r="D16" s="6" t="n">
        <v>5</v>
      </c>
      <c r="E16" s="300" t="n"/>
      <c r="F16" s="298" t="n"/>
      <c r="G16" s="298" t="n"/>
      <c r="H16" s="298" t="n"/>
      <c r="I16" s="298" t="n"/>
      <c r="J16" s="298" t="n"/>
      <c r="K16" s="298" t="n"/>
      <c r="L16" s="299" t="n"/>
      <c r="N16" s="307" t="n"/>
      <c r="Q16" s="294" t="n"/>
    </row>
    <row r="17" ht="14.1" customHeight="1" s="293">
      <c r="A17" s="344" t="n"/>
      <c r="B17" s="342" t="inlineStr">
        <is>
          <t>Conclusions</t>
        </is>
      </c>
      <c r="C17" s="297" t="n"/>
      <c r="D17" s="38" t="n">
        <v>1</v>
      </c>
      <c r="E17" s="360" t="inlineStr">
        <is>
          <t>Sell 1,151 SMH and 3,549 CIBR; buy 2,420 XLV, 3,298 XLP and 3,221 XLE shares at Friday's close (MOC).
SPY, SCHD and BIL are unchanged; after the trades we hold 8 ETFs with about 25% in KRW cash.
U.S. exposure is about 73% of the fund (limit 80%); largest ETF about 26% (limit 40%); no leverage/short.
All order sizes are below 25% of Thursday's volume, and no single-stock products are used.
We accept an underweight vs. the 40% KOSPI200 benchmark weight and will review re-entry on Oct 23.</t>
        </is>
      </c>
      <c r="F17" s="296" t="n"/>
      <c r="G17" s="296" t="n"/>
      <c r="H17" s="296" t="n"/>
      <c r="I17" s="296" t="n"/>
      <c r="J17" s="296" t="n"/>
      <c r="K17" s="296" t="n"/>
      <c r="L17" s="297" t="n"/>
      <c r="N17" s="307" t="n"/>
      <c r="Q17" s="294" t="n"/>
    </row>
    <row r="18" ht="14.1" customHeight="1" s="293">
      <c r="A18" s="344" t="n"/>
      <c r="B18" s="307" t="n"/>
      <c r="C18" s="294" t="n"/>
      <c r="D18" s="3" t="n">
        <v>2</v>
      </c>
      <c r="E18" s="307" t="n"/>
      <c r="L18" s="294" t="n"/>
      <c r="N18" s="307" t="n"/>
      <c r="Q18" s="294" t="n"/>
    </row>
    <row r="19" ht="14.1" customHeight="1" s="293">
      <c r="A19" s="344" t="n"/>
      <c r="B19" s="307" t="n"/>
      <c r="C19" s="294" t="n"/>
      <c r="D19" s="3" t="n">
        <v>3</v>
      </c>
      <c r="E19" s="307" t="n"/>
      <c r="L19" s="294" t="n"/>
      <c r="N19" s="307" t="n"/>
      <c r="Q19" s="294" t="n"/>
    </row>
    <row r="20" ht="14.1" customHeight="1" s="293">
      <c r="A20" s="344" t="n"/>
      <c r="B20" s="307" t="n"/>
      <c r="C20" s="294" t="n"/>
      <c r="D20" s="3" t="n">
        <v>4</v>
      </c>
      <c r="E20" s="307" t="n"/>
      <c r="L20" s="294" t="n"/>
      <c r="N20" s="307" t="n"/>
      <c r="Q20" s="294" t="n"/>
    </row>
    <row r="21" ht="14.1" customHeight="1" s="293">
      <c r="A21" s="347" t="n"/>
      <c r="B21" s="300" t="n"/>
      <c r="C21" s="299" t="n"/>
      <c r="D21" s="6" t="n">
        <v>5</v>
      </c>
      <c r="E21" s="300" t="n"/>
      <c r="F21" s="298" t="n"/>
      <c r="G21" s="298" t="n"/>
      <c r="H21" s="298" t="n"/>
      <c r="I21" s="298" t="n"/>
      <c r="J21" s="298" t="n"/>
      <c r="K21" s="298" t="n"/>
      <c r="L21" s="299" t="n"/>
      <c r="N21" s="300" t="n"/>
      <c r="O21" s="298" t="n"/>
      <c r="P21" s="298" t="n"/>
      <c r="Q21" s="299" t="n"/>
    </row>
    <row r="22"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348" t="inlineStr">
        <is>
          <t>MOC(Market-on-Close) Orders</t>
        </is>
      </c>
      <c r="B23" s="303" t="n"/>
      <c r="C23" s="304" t="n"/>
      <c r="D23" s="63" t="n"/>
      <c r="E23" s="64" t="n">
        <v>1</v>
      </c>
      <c r="F23" s="65" t="n">
        <v>2</v>
      </c>
      <c r="G23" s="64" t="n">
        <v>3</v>
      </c>
      <c r="H23" s="64" t="n">
        <v>4</v>
      </c>
      <c r="I23" s="64" t="n">
        <v>5</v>
      </c>
      <c r="J23" s="64" t="n">
        <v>6</v>
      </c>
      <c r="K23" s="64" t="n">
        <v>7</v>
      </c>
      <c r="L23" s="64" t="n">
        <v>8</v>
      </c>
    </row>
    <row r="24" ht="20.4" customHeight="1" s="293">
      <c r="A24" s="66" t="n"/>
      <c r="B24" s="349" t="inlineStr">
        <is>
          <t>Buy or Sell</t>
        </is>
      </c>
      <c r="C24" s="297" t="n"/>
      <c r="D24" s="63" t="n"/>
      <c r="E24" s="67" t="inlineStr">
        <is>
          <t>Sell</t>
        </is>
      </c>
      <c r="F24" s="68" t="inlineStr">
        <is>
          <t>Sell</t>
        </is>
      </c>
      <c r="G24" s="68" t="inlineStr">
        <is>
          <t>Buy</t>
        </is>
      </c>
      <c r="H24" s="67" t="inlineStr">
        <is>
          <t>Buy</t>
        </is>
      </c>
      <c r="I24" s="67" t="inlineStr">
        <is>
          <t>Buy</t>
        </is>
      </c>
      <c r="J24" s="67" t="n"/>
      <c r="K24" s="67" t="n"/>
      <c r="L24" s="67" t="n"/>
    </row>
    <row r="25">
      <c r="A25" s="69" t="inlineStr">
        <is>
          <t>Product Name</t>
        </is>
      </c>
      <c r="B25" s="303" t="n"/>
      <c r="C25" s="304" t="n"/>
      <c r="D25" s="13" t="n"/>
      <c r="E25" s="70" t="inlineStr">
        <is>
          <t>VanEck Semiconductor ETF</t>
        </is>
      </c>
      <c r="F25" s="71" t="inlineStr">
        <is>
          <t>First Trust Nasdaq Cybersecurity ETF</t>
        </is>
      </c>
      <c r="G25" s="71" t="inlineStr">
        <is>
          <t>State Street Health Care Select Sector SPDR ETF</t>
        </is>
      </c>
      <c r="H25" s="67" t="inlineStr">
        <is>
          <t>State Street Consumer Staples Select Sector SPDR ETF</t>
        </is>
      </c>
      <c r="I25" s="67" t="inlineStr">
        <is>
          <t>State Street Energy Select Sector SPDR ETF</t>
        </is>
      </c>
      <c r="J25" s="67" t="n"/>
      <c r="K25" s="67" t="n"/>
      <c r="L25" s="67" t="n"/>
    </row>
    <row r="26">
      <c r="A26" s="69" t="inlineStr">
        <is>
          <t>Product Code</t>
        </is>
      </c>
      <c r="B26" s="303" t="n"/>
      <c r="C26" s="304" t="n"/>
      <c r="D26" s="13" t="n"/>
      <c r="E26" s="67" t="inlineStr">
        <is>
          <t>SMH</t>
        </is>
      </c>
      <c r="F26" s="68" t="inlineStr">
        <is>
          <t>CIBR</t>
        </is>
      </c>
      <c r="G26" s="68" t="inlineStr">
        <is>
          <t>XLV</t>
        </is>
      </c>
      <c r="H26" s="67" t="inlineStr">
        <is>
          <t>XLP</t>
        </is>
      </c>
      <c r="I26" s="67" t="inlineStr">
        <is>
          <t>XLE</t>
        </is>
      </c>
      <c r="J26" s="67" t="n"/>
      <c r="K26" s="67" t="n"/>
      <c r="L26" s="67" t="n"/>
    </row>
    <row r="27">
      <c r="A27" s="350" t="inlineStr">
        <is>
          <t>Product Type (ETF/Futures/Options)</t>
        </is>
      </c>
      <c r="B27" s="303" t="n"/>
      <c r="C27" s="304" t="n"/>
      <c r="D27" s="13" t="n"/>
      <c r="E27" s="67" t="inlineStr">
        <is>
          <t>ETF</t>
        </is>
      </c>
      <c r="F27" s="67" t="inlineStr">
        <is>
          <t>ETF</t>
        </is>
      </c>
      <c r="G27" s="67" t="inlineStr">
        <is>
          <t>ETF</t>
        </is>
      </c>
      <c r="H27" s="67" t="inlineStr">
        <is>
          <t>ETF</t>
        </is>
      </c>
      <c r="I27" s="67" t="inlineStr">
        <is>
          <t>ETF</t>
        </is>
      </c>
      <c r="J27" s="67" t="n"/>
      <c r="K27" s="67" t="n"/>
      <c r="L27" s="67" t="n"/>
    </row>
    <row r="28" ht="17" customHeight="1" s="293">
      <c r="A28" s="69" t="inlineStr">
        <is>
          <t>Size (shares, contracts)</t>
        </is>
      </c>
      <c r="B28" s="303" t="n"/>
      <c r="C28" s="304" t="n"/>
      <c r="D28" s="13" t="n"/>
      <c r="E28" s="75" t="n">
        <v>1151</v>
      </c>
      <c r="F28" s="76" t="n">
        <v>3549</v>
      </c>
      <c r="G28" s="76" t="n">
        <v>2420</v>
      </c>
      <c r="H28" s="77" t="n">
        <v>3298</v>
      </c>
      <c r="I28" s="77" t="n">
        <v>3221</v>
      </c>
      <c r="J28" s="77" t="n"/>
      <c r="K28" s="77" t="n"/>
      <c r="L28" s="77" t="n"/>
    </row>
    <row r="29" ht="17" customHeight="1" s="293">
      <c r="A29" s="351" t="inlineStr">
        <is>
          <t>Multiple (Futures&amp;Options only)</t>
        </is>
      </c>
      <c r="B29" s="303" t="n"/>
      <c r="C29" s="304" t="n"/>
      <c r="D29" s="13" t="n"/>
      <c r="E29" s="81" t="n">
        <v>1</v>
      </c>
      <c r="F29" s="81" t="n">
        <v>1</v>
      </c>
      <c r="G29" s="82" t="n">
        <v>1</v>
      </c>
      <c r="H29" s="81" t="n">
        <v>1</v>
      </c>
      <c r="I29" s="81" t="n">
        <v>1</v>
      </c>
      <c r="J29" s="81" t="n"/>
      <c r="K29" s="81" t="n"/>
      <c r="L29" s="81" t="n"/>
    </row>
    <row r="30">
      <c r="A30" s="69" t="inlineStr">
        <is>
          <t>Price</t>
        </is>
      </c>
      <c r="B30" s="303" t="n"/>
      <c r="C30" s="304" t="n"/>
      <c r="D30" s="13" t="n"/>
      <c r="E30" s="84" t="inlineStr">
        <is>
          <t>Friday's closing Price</t>
        </is>
      </c>
      <c r="F30" s="85" t="inlineStr">
        <is>
          <t>Friday's closing Price</t>
        </is>
      </c>
      <c r="G30" s="85" t="inlineStr">
        <is>
          <t>Friday's closing Price</t>
        </is>
      </c>
      <c r="H30" s="85" t="inlineStr">
        <is>
          <t>Friday's closing Price</t>
        </is>
      </c>
      <c r="I30" s="85" t="inlineStr">
        <is>
          <t>Friday's closing Price</t>
        </is>
      </c>
      <c r="J30" s="85" t="inlineStr">
        <is>
          <t>Friday's closing Price</t>
        </is>
      </c>
      <c r="K30" s="85" t="inlineStr">
        <is>
          <t>Friday's closing Price</t>
        </is>
      </c>
      <c r="L30" s="85" t="inlineStr">
        <is>
          <t>Friday's closing Price</t>
        </is>
      </c>
    </row>
    <row r="31" ht="16.5" customHeight="1" s="293">
      <c r="A31" s="83" t="inlineStr">
        <is>
          <t>FX (exchange rate)</t>
        </is>
      </c>
      <c r="B31" s="303" t="n"/>
      <c r="C31" s="304" t="n"/>
      <c r="D31" s="13" t="n"/>
      <c r="E31" s="84" t="inlineStr">
        <is>
          <t>Friday's closing FX rate</t>
        </is>
      </c>
      <c r="F31" s="85" t="inlineStr">
        <is>
          <t>Friday's closing FX rate</t>
        </is>
      </c>
      <c r="G31" s="85" t="inlineStr">
        <is>
          <t>Friday's closing FX rate</t>
        </is>
      </c>
      <c r="H31" s="85" t="inlineStr">
        <is>
          <t>Friday's closing FX rate</t>
        </is>
      </c>
      <c r="I31" s="85" t="inlineStr">
        <is>
          <t>Friday's closing FX rate</t>
        </is>
      </c>
      <c r="J31" s="85" t="inlineStr">
        <is>
          <t>Friday's closing FX rate</t>
        </is>
      </c>
      <c r="K31" s="85" t="inlineStr">
        <is>
          <t>Friday's closing FX rate</t>
        </is>
      </c>
      <c r="L31" s="85" t="inlineStr">
        <is>
          <t>Friday's closing FX rate</t>
        </is>
      </c>
    </row>
    <row r="32">
      <c r="A32" s="86" t="inlineStr">
        <is>
          <t>Size Check</t>
        </is>
      </c>
      <c r="B32" s="303" t="n"/>
      <c r="C32" s="303" t="n"/>
      <c r="D32" s="13" t="n"/>
      <c r="E32" s="87">
        <f>IF(E28=0,"",IF(E28&lt;25%*E33,"OK","Too Big!"))</f>
        <v/>
      </c>
      <c r="F32" s="87">
        <f>IF(F28=0,"",IF(F28&lt;25%*F33,"OK","Too Big!"))</f>
        <v/>
      </c>
      <c r="G32" s="87">
        <f>IF(G28=0,"",IF(G28&lt;25%*G33,"OK","Too Big!"))</f>
        <v/>
      </c>
      <c r="H32" s="87">
        <f>IF(H28=0,"",IF(H28&lt;25%*H33,"OK","Too Big!"))</f>
        <v/>
      </c>
      <c r="I32" s="87">
        <f>IF(I28=0,"",IF(I28&lt;25%*I33,"OK","Too Big!"))</f>
        <v/>
      </c>
      <c r="J32" s="87">
        <f>IF(J28=0,"",IF(J28&lt;25%*J33,"OK","Too Big!"))</f>
        <v/>
      </c>
      <c r="K32" s="87">
        <f>IF(K28=0,"",IF(K28&lt;25%*K33,"OK","Too Big!"))</f>
        <v/>
      </c>
      <c r="L32" s="87">
        <f>IF(L28=0,"",IF(L28&lt;25%*L33,"OK","Too Big!"))</f>
        <v/>
      </c>
    </row>
    <row r="33">
      <c r="A33" s="88" t="inlineStr">
        <is>
          <t>Previous Thursday's daily trading volume (shares/contracts)</t>
        </is>
      </c>
      <c r="B33" s="296" t="n"/>
      <c r="C33" s="297" t="n"/>
      <c r="D33" s="13" t="n"/>
      <c r="E33" s="353" t="n">
        <v>14978200</v>
      </c>
      <c r="F33" s="353" t="n">
        <v>2789305</v>
      </c>
      <c r="G33" s="353" t="n">
        <v>11474100</v>
      </c>
      <c r="H33" s="353" t="n">
        <v>23971000</v>
      </c>
      <c r="I33" s="353" t="n">
        <v>31406300</v>
      </c>
      <c r="J33" s="353" t="n"/>
      <c r="K33" s="353" t="n"/>
      <c r="L33" s="353" t="n"/>
    </row>
    <row r="34" ht="16.5" customHeight="1" s="293">
      <c r="A34" s="300" t="n"/>
      <c r="B34" s="298" t="n"/>
      <c r="C34" s="299" t="n"/>
      <c r="D34" s="13" t="n"/>
      <c r="E34" s="300" t="n"/>
      <c r="F34" s="300" t="n"/>
      <c r="G34" s="300" t="n"/>
      <c r="H34" s="300" t="n"/>
      <c r="I34" s="300" t="n"/>
      <c r="J34" s="300" t="n"/>
      <c r="K34" s="300" t="n"/>
      <c r="L34" s="300" t="n"/>
    </row>
    <row r="35" ht="16.5" customHeight="1" s="293">
      <c r="A35" s="92">
        <f>'Risk Mgmt'!A25</f>
        <v/>
      </c>
      <c r="B35" s="93">
        <f>'Risk Mgmt'!B25</f>
        <v/>
      </c>
      <c r="D35" s="13" t="n"/>
      <c r="E35" s="355" t="inlineStr">
        <is>
          <t>Adjust your order size to keep it smaller than a 25% of previous Thursday's trading volume of each interest.</t>
        </is>
      </c>
      <c r="F35" s="303" t="n"/>
      <c r="G35" s="303" t="n"/>
      <c r="H35" s="303" t="n"/>
      <c r="I35" s="303" t="n"/>
      <c r="J35" s="303" t="n"/>
      <c r="K35" s="303" t="n"/>
      <c r="L35" s="304" t="n"/>
    </row>
    <row r="36" ht="16.5" customHeight="1" s="293">
      <c r="A36" s="97">
        <f>'Risk Mgmt'!A26</f>
        <v/>
      </c>
      <c r="B36" s="68">
        <f>'Risk Mgmt'!B26</f>
        <v/>
      </c>
      <c r="C36" s="68">
        <f>'Risk Mgmt'!C26</f>
        <v/>
      </c>
      <c r="D36" s="98" t="n"/>
      <c r="E36" s="356" t="inlineStr">
        <is>
          <t>[Normal Case] Total Investment &lt; KRW 10 billion --&gt; Remaining Cash Balance earns an interest of 0.035% per week.  
[Leverage Case] Total Investment &gt; KRW 10 billion --&gt;The amount over the budget (KRW 10 billion) incurs financing cost: 0.070% per week.</t>
        </is>
      </c>
      <c r="F36" s="296" t="n"/>
      <c r="G36" s="296" t="n"/>
      <c r="H36" s="296" t="n"/>
      <c r="I36" s="296" t="n"/>
      <c r="J36" s="296" t="n"/>
      <c r="K36" s="296" t="n"/>
      <c r="L36" s="297" t="n"/>
    </row>
    <row r="37" ht="16.5" customHeight="1" s="293">
      <c r="A37" s="97">
        <f>'Risk Mgmt'!A27</f>
        <v/>
      </c>
      <c r="B37" s="68">
        <f>'Risk Mgmt'!B27</f>
        <v/>
      </c>
      <c r="C37" s="68">
        <f>'Risk Mgmt'!C27</f>
        <v/>
      </c>
      <c r="D37" s="98" t="n"/>
      <c r="E37" s="307" t="n"/>
      <c r="L37" s="294" t="n"/>
    </row>
    <row r="38" ht="20.4" customHeight="1" s="293">
      <c r="A38" s="97">
        <f>'Risk Mgmt'!A28</f>
        <v/>
      </c>
      <c r="B38" s="68">
        <f>'Risk Mgmt'!B28</f>
        <v/>
      </c>
      <c r="C38" s="68">
        <f>'Risk Mgmt'!C28</f>
        <v/>
      </c>
      <c r="D38" s="105" t="n"/>
      <c r="E38" s="300" t="n"/>
      <c r="F38" s="298" t="n"/>
      <c r="G38" s="298" t="n"/>
      <c r="H38" s="298" t="n"/>
      <c r="I38" s="298" t="n"/>
      <c r="J38" s="298" t="n"/>
      <c r="K38" s="298" t="n"/>
      <c r="L38" s="299" t="n"/>
    </row>
    <row r="39" ht="18" customHeight="1" s="293">
      <c r="A39" s="97">
        <f>'Risk Mgmt'!A29</f>
        <v/>
      </c>
      <c r="B39" s="68">
        <f>'Risk Mgmt'!B29</f>
        <v/>
      </c>
      <c r="C39" s="68">
        <f>'Risk Mgmt'!C29</f>
        <v/>
      </c>
      <c r="D39" s="105" t="n"/>
      <c r="E39" s="357" t="inlineStr">
        <is>
          <t>Check if your orders are in compliance with your team's (self-made) risk management rules!</t>
        </is>
      </c>
      <c r="F39" s="303" t="n"/>
      <c r="G39" s="303" t="n"/>
      <c r="H39" s="303" t="n"/>
      <c r="I39" s="303" t="n"/>
      <c r="J39" s="303" t="n"/>
      <c r="K39" s="303" t="n"/>
      <c r="L39" s="304" t="n"/>
    </row>
    <row r="40">
      <c r="A40" s="112" t="n"/>
      <c r="B40" s="112" t="n"/>
      <c r="C40" s="112" t="n"/>
    </row>
  </sheetData>
  <mergeCells count="37">
    <mergeCell ref="A25:C25"/>
    <mergeCell ref="K33:K34"/>
    <mergeCell ref="B3:C3"/>
    <mergeCell ref="E12:L16"/>
    <mergeCell ref="E33:E34"/>
    <mergeCell ref="A27:C27"/>
    <mergeCell ref="B7:C11"/>
    <mergeCell ref="A26:C26"/>
    <mergeCell ref="E39:L39"/>
    <mergeCell ref="E35:L35"/>
    <mergeCell ref="D1:I2"/>
    <mergeCell ref="A7:A21"/>
    <mergeCell ref="A23:C23"/>
    <mergeCell ref="A32:C32"/>
    <mergeCell ref="A1:C2"/>
    <mergeCell ref="L33:L34"/>
    <mergeCell ref="B12:C16"/>
    <mergeCell ref="F33:F34"/>
    <mergeCell ref="N6:Q21"/>
    <mergeCell ref="A29:C29"/>
    <mergeCell ref="I33:I34"/>
    <mergeCell ref="E17:L21"/>
    <mergeCell ref="A28:C28"/>
    <mergeCell ref="B17:C21"/>
    <mergeCell ref="G33:G34"/>
    <mergeCell ref="A31:C31"/>
    <mergeCell ref="A30:C30"/>
    <mergeCell ref="E36:L38"/>
    <mergeCell ref="E5:L6"/>
    <mergeCell ref="B24:C24"/>
    <mergeCell ref="H33:H34"/>
    <mergeCell ref="J33:J34"/>
    <mergeCell ref="K1:L2"/>
    <mergeCell ref="E7:L11"/>
    <mergeCell ref="A33:C34"/>
    <mergeCell ref="J1:J2"/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Q40"/>
  <sheetViews>
    <sheetView zoomScale="80" zoomScaleNormal="80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E33" sqref="E33:E34"/>
    </sheetView>
  </sheetViews>
  <sheetFormatPr baseColWidth="8" defaultColWidth="9" defaultRowHeight="16.8"/>
  <cols>
    <col width="14.25" customWidth="1" style="1" min="1" max="1"/>
    <col width="9" customWidth="1" style="1" min="2" max="3"/>
    <col width="4" customWidth="1" style="1" min="4" max="4"/>
    <col width="18.5" customWidth="1" style="1" min="5" max="12"/>
    <col width="9" customWidth="1" style="1" min="13" max="16384"/>
  </cols>
  <sheetData>
    <row r="1" ht="16.5" customHeight="1" s="293">
      <c r="A1" s="172">
        <f>'Risk Mgmt'!A1</f>
        <v/>
      </c>
      <c r="D1" s="4" t="inlineStr">
        <is>
          <t>An Executive Summary for Investors: Strategy &amp; Order(s)</t>
        </is>
      </c>
      <c r="J1" s="7" t="inlineStr">
        <is>
          <t>as of</t>
        </is>
      </c>
      <c r="K1" s="8">
        <f>TEXT(B4,"YYYY-MM-DD")</f>
        <v/>
      </c>
    </row>
    <row r="2" ht="16.5" customHeight="1" s="293">
      <c r="A2" s="298" t="n"/>
      <c r="B2" s="298" t="n"/>
      <c r="C2" s="298" t="n"/>
      <c r="J2" s="298" t="n"/>
      <c r="K2" s="298" t="n"/>
      <c r="L2" s="298" t="n"/>
    </row>
    <row r="3">
      <c r="A3" s="9" t="inlineStr">
        <is>
          <t>Company</t>
        </is>
      </c>
      <c r="B3" s="337">
        <f>'Risk Mgmt'!B3</f>
        <v/>
      </c>
      <c r="C3" s="304" t="n"/>
      <c r="D3" s="12" t="n"/>
      <c r="E3" s="13" t="n"/>
      <c r="F3" s="14" t="inlineStr">
        <is>
          <t>Loss-cut</t>
        </is>
      </c>
      <c r="G3" s="14" t="inlineStr">
        <is>
          <t>Profit-taking</t>
        </is>
      </c>
      <c r="H3" s="14" t="inlineStr">
        <is>
          <t>ETF</t>
        </is>
      </c>
      <c r="I3" s="14" t="inlineStr">
        <is>
          <t>Country</t>
        </is>
      </c>
      <c r="J3" s="15" t="inlineStr">
        <is>
          <t>Futures</t>
        </is>
      </c>
      <c r="K3" s="15" t="inlineStr">
        <is>
          <t>Options L</t>
        </is>
      </c>
      <c r="L3" s="15" t="inlineStr">
        <is>
          <t>Options S</t>
        </is>
      </c>
    </row>
    <row r="4">
      <c r="A4" s="9" t="inlineStr">
        <is>
          <t>Date</t>
        </is>
      </c>
      <c r="B4" s="358">
        <f>'16-Oct'!B4+7</f>
        <v/>
      </c>
      <c r="C4" s="304" t="n"/>
      <c r="D4" s="18">
        <f>IF(WEEKDAY(B4)=1,"SUN",IF(WEEKDAY(B4)=2,"MON",IF(WEEKDAY(B4)=3,"TUE",IF(WEEKDAY(B4)=4,"WED",IF(WEEKDAY(B4)=5,"THU",IF(WEEKDAY(B4)=6,"FRI",IF(WEEKDAY(B4)=7,"SAT","-")))))))</f>
        <v/>
      </c>
      <c r="E4" s="19" t="inlineStr">
        <is>
          <t>before 3pm</t>
        </is>
      </c>
      <c r="F4" s="20">
        <f>'16-Oct'!F4</f>
        <v/>
      </c>
      <c r="G4" s="20">
        <f>'16-Oct'!G4</f>
        <v/>
      </c>
      <c r="H4" s="20">
        <f>'16-Oct'!H4</f>
        <v/>
      </c>
      <c r="I4" s="20">
        <f>'16-Oct'!I4</f>
        <v/>
      </c>
      <c r="J4" s="21">
        <f>'16-Oct'!J4</f>
        <v/>
      </c>
      <c r="K4" s="21">
        <f>'16-Oct'!K4</f>
        <v/>
      </c>
      <c r="L4" s="21">
        <f>'16-Oct'!L4</f>
        <v/>
      </c>
    </row>
    <row r="5" ht="16.5" customHeight="1" s="293">
      <c r="A5" s="22" t="n"/>
      <c r="B5" s="338" t="n"/>
      <c r="C5" s="24" t="n"/>
      <c r="D5" s="25" t="n"/>
      <c r="E5" s="359" t="inlineStr">
        <is>
          <t>Important!   No longer than 5 lines in each box. (Column width: 9, Font Size: 11, MS Clear Gothic)
Line feed within a cell: Alt^Enter</t>
        </is>
      </c>
      <c r="F5" s="296" t="n"/>
      <c r="G5" s="296" t="n"/>
      <c r="H5" s="296" t="n"/>
      <c r="I5" s="296" t="n"/>
      <c r="J5" s="296" t="n"/>
      <c r="K5" s="296" t="n"/>
      <c r="L5" s="297" t="n"/>
    </row>
    <row r="6" ht="14.1" customHeight="1" s="293">
      <c r="A6" s="22" t="n"/>
      <c r="B6" s="338" t="n"/>
      <c r="C6" s="24" t="n"/>
      <c r="D6" s="25" t="n"/>
      <c r="E6" s="300" t="n"/>
      <c r="F6" s="298" t="n"/>
      <c r="G6" s="298" t="n"/>
      <c r="H6" s="298" t="n"/>
      <c r="I6" s="298" t="n"/>
      <c r="J6" s="298" t="n"/>
      <c r="K6" s="298" t="n"/>
      <c r="L6" s="299" t="n"/>
      <c r="N6" s="340" t="inlineStr">
        <is>
          <t>KRX-listed ETF code begins with letter A and ETN code begins with letter Q which prevent the codes from being read as numbers rather than  text. 
US ETFs' codes are using 2 ~ 4 alphebet characters.</t>
        </is>
      </c>
      <c r="O6" s="296" t="n"/>
      <c r="P6" s="296" t="n"/>
      <c r="Q6" s="297" t="n"/>
    </row>
    <row r="7" ht="14.1" customHeight="1" s="293">
      <c r="A7" s="341" t="inlineStr">
        <is>
          <t>Strategy</t>
        </is>
      </c>
      <c r="B7" s="342" t="inlineStr">
        <is>
          <t>Background</t>
        </is>
      </c>
      <c r="C7" s="297" t="n"/>
      <c r="D7" s="38" t="n">
        <v>1</v>
      </c>
      <c r="E7" s="360" t="n"/>
      <c r="F7" s="296" t="n"/>
      <c r="G7" s="296" t="n"/>
      <c r="H7" s="296" t="n"/>
      <c r="I7" s="296" t="n"/>
      <c r="J7" s="296" t="n"/>
      <c r="K7" s="296" t="n"/>
      <c r="L7" s="297" t="n"/>
      <c r="N7" s="307" t="n"/>
      <c r="Q7" s="294" t="n"/>
    </row>
    <row r="8" ht="14.1" customHeight="1" s="293">
      <c r="A8" s="344" t="n"/>
      <c r="B8" s="307" t="n"/>
      <c r="C8" s="294" t="n"/>
      <c r="D8" s="3" t="n">
        <v>2</v>
      </c>
      <c r="E8" s="307" t="n"/>
      <c r="L8" s="294" t="n"/>
      <c r="N8" s="307" t="n"/>
      <c r="Q8" s="294" t="n"/>
    </row>
    <row r="9" ht="14.1" customHeight="1" s="293">
      <c r="A9" s="344" t="n"/>
      <c r="B9" s="307" t="n"/>
      <c r="C9" s="294" t="n"/>
      <c r="D9" s="3" t="n">
        <v>3</v>
      </c>
      <c r="E9" s="307" t="n"/>
      <c r="L9" s="294" t="n"/>
      <c r="N9" s="307" t="n"/>
      <c r="Q9" s="294" t="n"/>
    </row>
    <row r="10" ht="14.1" customHeight="1" s="293">
      <c r="A10" s="344" t="n"/>
      <c r="B10" s="307" t="n"/>
      <c r="C10" s="294" t="n"/>
      <c r="D10" s="3" t="n">
        <v>4</v>
      </c>
      <c r="E10" s="307" t="n"/>
      <c r="L10" s="294" t="n"/>
      <c r="N10" s="307" t="n"/>
      <c r="Q10" s="294" t="n"/>
    </row>
    <row r="11" ht="14.1" customHeight="1" s="293">
      <c r="A11" s="344" t="n"/>
      <c r="B11" s="300" t="n"/>
      <c r="C11" s="299" t="n"/>
      <c r="D11" s="6" t="n">
        <v>5</v>
      </c>
      <c r="E11" s="300" t="n"/>
      <c r="F11" s="298" t="n"/>
      <c r="G11" s="298" t="n"/>
      <c r="H11" s="298" t="n"/>
      <c r="I11" s="298" t="n"/>
      <c r="J11" s="298" t="n"/>
      <c r="K11" s="298" t="n"/>
      <c r="L11" s="299" t="n"/>
      <c r="N11" s="307" t="n"/>
      <c r="Q11" s="294" t="n"/>
    </row>
    <row r="12" ht="14.1" customHeight="1" s="293">
      <c r="A12" s="344" t="n"/>
      <c r="B12" s="342" t="inlineStr">
        <is>
          <t>Reasonings</t>
        </is>
      </c>
      <c r="C12" s="297" t="n"/>
      <c r="D12" s="38" t="n">
        <v>1</v>
      </c>
      <c r="E12" s="361" t="n"/>
      <c r="F12" s="296" t="n"/>
      <c r="G12" s="296" t="n"/>
      <c r="H12" s="296" t="n"/>
      <c r="I12" s="296" t="n"/>
      <c r="J12" s="296" t="n"/>
      <c r="K12" s="296" t="n"/>
      <c r="L12" s="297" t="n"/>
      <c r="N12" s="307" t="n"/>
      <c r="Q12" s="294" t="n"/>
    </row>
    <row r="13" ht="14.1" customHeight="1" s="293">
      <c r="A13" s="344" t="n"/>
      <c r="B13" s="307" t="n"/>
      <c r="C13" s="294" t="n"/>
      <c r="D13" s="3" t="n">
        <v>2</v>
      </c>
      <c r="E13" s="307" t="n"/>
      <c r="L13" s="294" t="n"/>
      <c r="N13" s="307" t="n"/>
      <c r="Q13" s="294" t="n"/>
    </row>
    <row r="14" ht="14.1" customHeight="1" s="293">
      <c r="A14" s="344" t="n"/>
      <c r="B14" s="307" t="n"/>
      <c r="C14" s="294" t="n"/>
      <c r="D14" s="3" t="n">
        <v>3</v>
      </c>
      <c r="E14" s="307" t="n"/>
      <c r="L14" s="294" t="n"/>
      <c r="N14" s="307" t="n"/>
      <c r="Q14" s="294" t="n"/>
    </row>
    <row r="15" ht="14.1" customHeight="1" s="293">
      <c r="A15" s="344" t="n"/>
      <c r="B15" s="307" t="n"/>
      <c r="C15" s="294" t="n"/>
      <c r="D15" s="3" t="n">
        <v>4</v>
      </c>
      <c r="E15" s="307" t="n"/>
      <c r="L15" s="294" t="n"/>
      <c r="N15" s="307" t="n"/>
      <c r="Q15" s="294" t="n"/>
    </row>
    <row r="16" ht="14.1" customHeight="1" s="293">
      <c r="A16" s="344" t="n"/>
      <c r="B16" s="300" t="n"/>
      <c r="C16" s="299" t="n"/>
      <c r="D16" s="6" t="n">
        <v>5</v>
      </c>
      <c r="E16" s="300" t="n"/>
      <c r="F16" s="298" t="n"/>
      <c r="G16" s="298" t="n"/>
      <c r="H16" s="298" t="n"/>
      <c r="I16" s="298" t="n"/>
      <c r="J16" s="298" t="n"/>
      <c r="K16" s="298" t="n"/>
      <c r="L16" s="299" t="n"/>
      <c r="N16" s="307" t="n"/>
      <c r="Q16" s="294" t="n"/>
    </row>
    <row r="17" ht="14.1" customHeight="1" s="293">
      <c r="A17" s="344" t="n"/>
      <c r="B17" s="342" t="inlineStr">
        <is>
          <t>Conclusions</t>
        </is>
      </c>
      <c r="C17" s="297" t="n"/>
      <c r="D17" s="38" t="n">
        <v>1</v>
      </c>
      <c r="E17" s="361" t="n"/>
      <c r="F17" s="296" t="n"/>
      <c r="G17" s="296" t="n"/>
      <c r="H17" s="296" t="n"/>
      <c r="I17" s="296" t="n"/>
      <c r="J17" s="296" t="n"/>
      <c r="K17" s="296" t="n"/>
      <c r="L17" s="297" t="n"/>
      <c r="N17" s="307" t="n"/>
      <c r="Q17" s="294" t="n"/>
    </row>
    <row r="18" ht="14.1" customHeight="1" s="293">
      <c r="A18" s="344" t="n"/>
      <c r="B18" s="307" t="n"/>
      <c r="C18" s="294" t="n"/>
      <c r="D18" s="3" t="n">
        <v>2</v>
      </c>
      <c r="E18" s="307" t="n"/>
      <c r="L18" s="294" t="n"/>
      <c r="N18" s="307" t="n"/>
      <c r="Q18" s="294" t="n"/>
    </row>
    <row r="19" ht="14.1" customHeight="1" s="293">
      <c r="A19" s="344" t="n"/>
      <c r="B19" s="307" t="n"/>
      <c r="C19" s="294" t="n"/>
      <c r="D19" s="3" t="n">
        <v>3</v>
      </c>
      <c r="E19" s="307" t="n"/>
      <c r="L19" s="294" t="n"/>
      <c r="N19" s="307" t="n"/>
      <c r="Q19" s="294" t="n"/>
    </row>
    <row r="20" ht="14.1" customHeight="1" s="293">
      <c r="A20" s="344" t="n"/>
      <c r="B20" s="307" t="n"/>
      <c r="C20" s="294" t="n"/>
      <c r="D20" s="3" t="n">
        <v>4</v>
      </c>
      <c r="E20" s="307" t="n"/>
      <c r="L20" s="294" t="n"/>
      <c r="N20" s="307" t="n"/>
      <c r="Q20" s="294" t="n"/>
    </row>
    <row r="21" ht="14.1" customHeight="1" s="293">
      <c r="A21" s="347" t="n"/>
      <c r="B21" s="300" t="n"/>
      <c r="C21" s="299" t="n"/>
      <c r="D21" s="6" t="n">
        <v>5</v>
      </c>
      <c r="E21" s="300" t="n"/>
      <c r="F21" s="298" t="n"/>
      <c r="G21" s="298" t="n"/>
      <c r="H21" s="298" t="n"/>
      <c r="I21" s="298" t="n"/>
      <c r="J21" s="298" t="n"/>
      <c r="K21" s="298" t="n"/>
      <c r="L21" s="299" t="n"/>
      <c r="N21" s="300" t="n"/>
      <c r="O21" s="298" t="n"/>
      <c r="P21" s="298" t="n"/>
      <c r="Q21" s="299" t="n"/>
    </row>
    <row r="22"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348" t="inlineStr">
        <is>
          <t>MOC(Market-on-Close) Orders</t>
        </is>
      </c>
      <c r="B23" s="303" t="n"/>
      <c r="C23" s="304" t="n"/>
      <c r="D23" s="63" t="n"/>
      <c r="E23" s="64" t="n">
        <v>1</v>
      </c>
      <c r="F23" s="65" t="n">
        <v>2</v>
      </c>
      <c r="G23" s="64" t="n">
        <v>3</v>
      </c>
      <c r="H23" s="64" t="n">
        <v>4</v>
      </c>
      <c r="I23" s="64" t="n">
        <v>5</v>
      </c>
      <c r="J23" s="64" t="n">
        <v>6</v>
      </c>
      <c r="K23" s="64" t="n">
        <v>7</v>
      </c>
      <c r="L23" s="64" t="n">
        <v>8</v>
      </c>
    </row>
    <row r="24" ht="20.4" customHeight="1" s="293">
      <c r="A24" s="66" t="n"/>
      <c r="B24" s="349" t="inlineStr">
        <is>
          <t>Buy or Sell</t>
        </is>
      </c>
      <c r="C24" s="297" t="n"/>
      <c r="D24" s="63" t="n"/>
      <c r="E24" s="67" t="n"/>
      <c r="F24" s="68" t="n"/>
      <c r="G24" s="68" t="n"/>
      <c r="H24" s="67" t="n"/>
      <c r="I24" s="67" t="n"/>
      <c r="J24" s="67" t="n"/>
      <c r="K24" s="67" t="n"/>
      <c r="L24" s="67" t="n"/>
    </row>
    <row r="25">
      <c r="A25" s="69" t="inlineStr">
        <is>
          <t>Product Name</t>
        </is>
      </c>
      <c r="B25" s="303" t="n"/>
      <c r="C25" s="304" t="n"/>
      <c r="D25" s="13" t="n"/>
      <c r="E25" s="70" t="n"/>
      <c r="F25" s="71" t="n"/>
      <c r="G25" s="71" t="n"/>
      <c r="H25" s="67" t="n"/>
      <c r="I25" s="67" t="n"/>
      <c r="J25" s="67" t="n"/>
      <c r="K25" s="67" t="n"/>
      <c r="L25" s="67" t="n"/>
    </row>
    <row r="26">
      <c r="A26" s="69" t="inlineStr">
        <is>
          <t>Product Code</t>
        </is>
      </c>
      <c r="B26" s="303" t="n"/>
      <c r="C26" s="304" t="n"/>
      <c r="D26" s="13" t="n"/>
      <c r="E26" s="67" t="n"/>
      <c r="F26" s="68" t="n"/>
      <c r="G26" s="68" t="n"/>
      <c r="H26" s="67" t="n"/>
      <c r="I26" s="67" t="n"/>
      <c r="J26" s="67" t="n"/>
      <c r="K26" s="67" t="n"/>
      <c r="L26" s="67" t="n"/>
    </row>
    <row r="27">
      <c r="A27" s="350" t="inlineStr">
        <is>
          <t>Product Type (ETF/Futures/Options)</t>
        </is>
      </c>
      <c r="B27" s="303" t="n"/>
      <c r="C27" s="304" t="n"/>
      <c r="D27" s="13" t="n"/>
      <c r="E27" s="67" t="n"/>
      <c r="F27" s="67" t="n"/>
      <c r="G27" s="67" t="n"/>
      <c r="H27" s="67" t="n"/>
      <c r="I27" s="67" t="n"/>
      <c r="J27" s="67" t="n"/>
      <c r="K27" s="67" t="n"/>
      <c r="L27" s="67" t="n"/>
    </row>
    <row r="28" ht="17" customHeight="1" s="293">
      <c r="A28" s="69" t="inlineStr">
        <is>
          <t>Size (shares, contracts)</t>
        </is>
      </c>
      <c r="B28" s="303" t="n"/>
      <c r="C28" s="304" t="n"/>
      <c r="D28" s="13" t="n"/>
      <c r="E28" s="75" t="n"/>
      <c r="F28" s="76" t="n"/>
      <c r="G28" s="76" t="n"/>
      <c r="H28" s="77" t="n"/>
      <c r="I28" s="77" t="n"/>
      <c r="J28" s="77" t="n"/>
      <c r="K28" s="77" t="n"/>
      <c r="L28" s="77" t="n"/>
    </row>
    <row r="29" ht="17" customHeight="1" s="293">
      <c r="A29" s="351" t="inlineStr">
        <is>
          <t>Multiple (Futures&amp;Options only)</t>
        </is>
      </c>
      <c r="B29" s="303" t="n"/>
      <c r="C29" s="304" t="n"/>
      <c r="D29" s="13" t="n"/>
      <c r="E29" s="81" t="n"/>
      <c r="F29" s="81" t="n"/>
      <c r="G29" s="82" t="n"/>
      <c r="H29" s="81" t="n"/>
      <c r="I29" s="81" t="n"/>
      <c r="J29" s="81" t="n"/>
      <c r="K29" s="81" t="n"/>
      <c r="L29" s="81" t="n"/>
    </row>
    <row r="30">
      <c r="A30" s="69" t="inlineStr">
        <is>
          <t>Price</t>
        </is>
      </c>
      <c r="B30" s="303" t="n"/>
      <c r="C30" s="304" t="n"/>
      <c r="D30" s="13" t="n"/>
      <c r="E30" s="84" t="inlineStr">
        <is>
          <t>Friday's closing Price</t>
        </is>
      </c>
      <c r="F30" s="85" t="inlineStr">
        <is>
          <t>Friday's closing Price</t>
        </is>
      </c>
      <c r="G30" s="85" t="inlineStr">
        <is>
          <t>Friday's closing Price</t>
        </is>
      </c>
      <c r="H30" s="85" t="inlineStr">
        <is>
          <t>Friday's closing Price</t>
        </is>
      </c>
      <c r="I30" s="85" t="inlineStr">
        <is>
          <t>Friday's closing Price</t>
        </is>
      </c>
      <c r="J30" s="85" t="inlineStr">
        <is>
          <t>Friday's closing Price</t>
        </is>
      </c>
      <c r="K30" s="85" t="inlineStr">
        <is>
          <t>Friday's closing Price</t>
        </is>
      </c>
      <c r="L30" s="85" t="inlineStr">
        <is>
          <t>Friday's closing Price</t>
        </is>
      </c>
    </row>
    <row r="31" ht="16.5" customHeight="1" s="293">
      <c r="A31" s="83" t="inlineStr">
        <is>
          <t>FX (exchange rate)</t>
        </is>
      </c>
      <c r="B31" s="303" t="n"/>
      <c r="C31" s="304" t="n"/>
      <c r="D31" s="13" t="n"/>
      <c r="E31" s="84" t="inlineStr">
        <is>
          <t>Friday's closing FX rate</t>
        </is>
      </c>
      <c r="F31" s="85" t="inlineStr">
        <is>
          <t>Friday's closing FX rate</t>
        </is>
      </c>
      <c r="G31" s="85" t="inlineStr">
        <is>
          <t>Friday's closing FX rate</t>
        </is>
      </c>
      <c r="H31" s="85" t="inlineStr">
        <is>
          <t>Friday's closing FX rate</t>
        </is>
      </c>
      <c r="I31" s="85" t="inlineStr">
        <is>
          <t>Friday's closing FX rate</t>
        </is>
      </c>
      <c r="J31" s="85" t="inlineStr">
        <is>
          <t>Friday's closing FX rate</t>
        </is>
      </c>
      <c r="K31" s="85" t="inlineStr">
        <is>
          <t>Friday's closing FX rate</t>
        </is>
      </c>
      <c r="L31" s="85" t="inlineStr">
        <is>
          <t>Friday's closing FX rate</t>
        </is>
      </c>
    </row>
    <row r="32">
      <c r="A32" s="86" t="inlineStr">
        <is>
          <t>Size Check</t>
        </is>
      </c>
      <c r="B32" s="303" t="n"/>
      <c r="C32" s="303" t="n"/>
      <c r="D32" s="13" t="n"/>
      <c r="E32" s="87">
        <f>IF(E28=0,"",IF(E28&lt;25%*E33,"OK","Too Big!"))</f>
        <v/>
      </c>
      <c r="F32" s="87">
        <f>IF(F28=0,"",IF(F28&lt;25%*F33,"OK","Too Big!"))</f>
        <v/>
      </c>
      <c r="G32" s="87">
        <f>IF(G28=0,"",IF(G28&lt;25%*G33,"OK","Too Big!"))</f>
        <v/>
      </c>
      <c r="H32" s="87">
        <f>IF(H28=0,"",IF(H28&lt;25%*H33,"OK","Too Big!"))</f>
        <v/>
      </c>
      <c r="I32" s="87">
        <f>IF(I28=0,"",IF(I28&lt;25%*I33,"OK","Too Big!"))</f>
        <v/>
      </c>
      <c r="J32" s="87">
        <f>IF(J28=0,"",IF(J28&lt;25%*J33,"OK","Too Big!"))</f>
        <v/>
      </c>
      <c r="K32" s="87">
        <f>IF(K28=0,"",IF(K28&lt;25%*K33,"OK","Too Big!"))</f>
        <v/>
      </c>
      <c r="L32" s="87">
        <f>IF(L28=0,"",IF(L28&lt;25%*L33,"OK","Too Big!"))</f>
        <v/>
      </c>
    </row>
    <row r="33">
      <c r="A33" s="88" t="inlineStr">
        <is>
          <t>Previous Thursday's daily trading volume (shares/contracts)</t>
        </is>
      </c>
      <c r="B33" s="296" t="n"/>
      <c r="C33" s="297" t="n"/>
      <c r="D33" s="13" t="n"/>
      <c r="E33" s="353" t="n"/>
      <c r="F33" s="353" t="n"/>
      <c r="G33" s="353" t="n"/>
      <c r="H33" s="353" t="n"/>
      <c r="I33" s="353" t="n"/>
      <c r="J33" s="353" t="n"/>
      <c r="K33" s="353" t="n"/>
      <c r="L33" s="353" t="n"/>
    </row>
    <row r="34" ht="16.5" customHeight="1" s="293">
      <c r="A34" s="300" t="n"/>
      <c r="B34" s="298" t="n"/>
      <c r="C34" s="299" t="n"/>
      <c r="D34" s="13" t="n"/>
      <c r="E34" s="300" t="n"/>
      <c r="F34" s="300" t="n"/>
      <c r="G34" s="300" t="n"/>
      <c r="H34" s="300" t="n"/>
      <c r="I34" s="300" t="n"/>
      <c r="J34" s="300" t="n"/>
      <c r="K34" s="300" t="n"/>
      <c r="L34" s="300" t="n"/>
    </row>
    <row r="35" ht="16.5" customHeight="1" s="293">
      <c r="A35" s="92">
        <f>'Risk Mgmt'!A25</f>
        <v/>
      </c>
      <c r="B35" s="93">
        <f>'Risk Mgmt'!B25</f>
        <v/>
      </c>
      <c r="D35" s="13" t="n"/>
      <c r="E35" s="355" t="inlineStr">
        <is>
          <t>Adjust your order size to keep it smaller than a 25% of previous Thursday's trading volume of each interest.</t>
        </is>
      </c>
      <c r="F35" s="303" t="n"/>
      <c r="G35" s="303" t="n"/>
      <c r="H35" s="303" t="n"/>
      <c r="I35" s="303" t="n"/>
      <c r="J35" s="303" t="n"/>
      <c r="K35" s="303" t="n"/>
      <c r="L35" s="304" t="n"/>
    </row>
    <row r="36" ht="16.5" customHeight="1" s="293">
      <c r="A36" s="97">
        <f>'Risk Mgmt'!A26</f>
        <v/>
      </c>
      <c r="B36" s="68">
        <f>'Risk Mgmt'!B26</f>
        <v/>
      </c>
      <c r="C36" s="68">
        <f>'Risk Mgmt'!C26</f>
        <v/>
      </c>
      <c r="D36" s="98" t="n"/>
      <c r="E36" s="356" t="inlineStr">
        <is>
          <t>[Normal Case] Total Investment &lt; KRW 10 billion --&gt; Remaining Cash Balance earns an interest of 0.035% per week.  
[Leverage Case] Total Investment &gt; KRW 10 billion --&gt;The amount over the budget (KRW 10 billion) incurs financing cost: 0.070% per week.</t>
        </is>
      </c>
      <c r="F36" s="296" t="n"/>
      <c r="G36" s="296" t="n"/>
      <c r="H36" s="296" t="n"/>
      <c r="I36" s="296" t="n"/>
      <c r="J36" s="296" t="n"/>
      <c r="K36" s="296" t="n"/>
      <c r="L36" s="297" t="n"/>
    </row>
    <row r="37" ht="16.5" customHeight="1" s="293">
      <c r="A37" s="97">
        <f>'Risk Mgmt'!A27</f>
        <v/>
      </c>
      <c r="B37" s="68">
        <f>'Risk Mgmt'!B27</f>
        <v/>
      </c>
      <c r="C37" s="68">
        <f>'Risk Mgmt'!C27</f>
        <v/>
      </c>
      <c r="D37" s="98" t="n"/>
      <c r="E37" s="307" t="n"/>
      <c r="L37" s="294" t="n"/>
    </row>
    <row r="38" ht="20.4" customHeight="1" s="293">
      <c r="A38" s="97">
        <f>'Risk Mgmt'!A28</f>
        <v/>
      </c>
      <c r="B38" s="68">
        <f>'Risk Mgmt'!B28</f>
        <v/>
      </c>
      <c r="C38" s="68">
        <f>'Risk Mgmt'!C28</f>
        <v/>
      </c>
      <c r="D38" s="105" t="n"/>
      <c r="E38" s="300" t="n"/>
      <c r="F38" s="298" t="n"/>
      <c r="G38" s="298" t="n"/>
      <c r="H38" s="298" t="n"/>
      <c r="I38" s="298" t="n"/>
      <c r="J38" s="298" t="n"/>
      <c r="K38" s="298" t="n"/>
      <c r="L38" s="299" t="n"/>
    </row>
    <row r="39" ht="18" customHeight="1" s="293">
      <c r="A39" s="97">
        <f>'Risk Mgmt'!A29</f>
        <v/>
      </c>
      <c r="B39" s="68">
        <f>'Risk Mgmt'!B29</f>
        <v/>
      </c>
      <c r="C39" s="68">
        <f>'Risk Mgmt'!C29</f>
        <v/>
      </c>
      <c r="D39" s="105" t="n"/>
      <c r="E39" s="357" t="inlineStr">
        <is>
          <t>Check if your orders are in compliance with your team's (self-made) risk management rules!</t>
        </is>
      </c>
      <c r="F39" s="303" t="n"/>
      <c r="G39" s="303" t="n"/>
      <c r="H39" s="303" t="n"/>
      <c r="I39" s="303" t="n"/>
      <c r="J39" s="303" t="n"/>
      <c r="K39" s="303" t="n"/>
      <c r="L39" s="304" t="n"/>
    </row>
    <row r="40">
      <c r="A40" s="112" t="n"/>
      <c r="B40" s="112" t="n"/>
      <c r="C40" s="112" t="n"/>
    </row>
  </sheetData>
  <mergeCells count="37">
    <mergeCell ref="A25:C25"/>
    <mergeCell ref="K33:K34"/>
    <mergeCell ref="B3:C3"/>
    <mergeCell ref="E12:L16"/>
    <mergeCell ref="E33:E34"/>
    <mergeCell ref="A27:C27"/>
    <mergeCell ref="B7:C11"/>
    <mergeCell ref="A26:C26"/>
    <mergeCell ref="E39:L39"/>
    <mergeCell ref="E35:L35"/>
    <mergeCell ref="D1:I2"/>
    <mergeCell ref="A7:A21"/>
    <mergeCell ref="A23:C23"/>
    <mergeCell ref="A32:C32"/>
    <mergeCell ref="A1:C2"/>
    <mergeCell ref="L33:L34"/>
    <mergeCell ref="B12:C16"/>
    <mergeCell ref="F33:F34"/>
    <mergeCell ref="N6:Q21"/>
    <mergeCell ref="A29:C29"/>
    <mergeCell ref="I33:I34"/>
    <mergeCell ref="E17:L21"/>
    <mergeCell ref="A28:C28"/>
    <mergeCell ref="B17:C21"/>
    <mergeCell ref="G33:G34"/>
    <mergeCell ref="A31:C31"/>
    <mergeCell ref="A30:C30"/>
    <mergeCell ref="E36:L38"/>
    <mergeCell ref="E5:L6"/>
    <mergeCell ref="B24:C24"/>
    <mergeCell ref="H33:H34"/>
    <mergeCell ref="J33:J34"/>
    <mergeCell ref="K1:L2"/>
    <mergeCell ref="E7:L11"/>
    <mergeCell ref="A33:C34"/>
    <mergeCell ref="J1:J2"/>
    <mergeCell ref="B4:C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Q40"/>
  <sheetViews>
    <sheetView zoomScale="80" zoomScaleNormal="80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49" sqref="H49"/>
    </sheetView>
  </sheetViews>
  <sheetFormatPr baseColWidth="8" defaultColWidth="9" defaultRowHeight="16.8"/>
  <cols>
    <col width="14.25" customWidth="1" style="1" min="1" max="1"/>
    <col width="9" customWidth="1" style="1" min="2" max="3"/>
    <col width="4" customWidth="1" style="1" min="4" max="4"/>
    <col width="18.5" customWidth="1" style="1" min="5" max="12"/>
    <col width="9" customWidth="1" style="1" min="13" max="16384"/>
  </cols>
  <sheetData>
    <row r="1" ht="16.5" customHeight="1" s="293">
      <c r="A1" s="172">
        <f>'Risk Mgmt'!A1</f>
        <v/>
      </c>
      <c r="D1" s="4" t="inlineStr">
        <is>
          <t>An Executive Summary for Investors: Strategy &amp; Order(s)</t>
        </is>
      </c>
      <c r="J1" s="7" t="inlineStr">
        <is>
          <t>as of</t>
        </is>
      </c>
      <c r="K1" s="8">
        <f>TEXT(B4,"YYYY-MM-DD")</f>
        <v/>
      </c>
    </row>
    <row r="2" ht="16.5" customHeight="1" s="293">
      <c r="A2" s="298" t="n"/>
      <c r="B2" s="298" t="n"/>
      <c r="C2" s="298" t="n"/>
      <c r="J2" s="298" t="n"/>
      <c r="K2" s="298" t="n"/>
      <c r="L2" s="298" t="n"/>
    </row>
    <row r="3">
      <c r="A3" s="9" t="inlineStr">
        <is>
          <t>Company</t>
        </is>
      </c>
      <c r="B3" s="337">
        <f>'Risk Mgmt'!B3</f>
        <v/>
      </c>
      <c r="C3" s="304" t="n"/>
      <c r="D3" s="12" t="n"/>
      <c r="E3" s="13" t="n"/>
      <c r="F3" s="14" t="inlineStr">
        <is>
          <t>Loss-cut</t>
        </is>
      </c>
      <c r="G3" s="14" t="inlineStr">
        <is>
          <t>Profit-taking</t>
        </is>
      </c>
      <c r="H3" s="14" t="inlineStr">
        <is>
          <t>ETF</t>
        </is>
      </c>
      <c r="I3" s="14" t="inlineStr">
        <is>
          <t>Country</t>
        </is>
      </c>
      <c r="J3" s="15" t="inlineStr">
        <is>
          <t>Futures</t>
        </is>
      </c>
      <c r="K3" s="15" t="inlineStr">
        <is>
          <t>Options L</t>
        </is>
      </c>
      <c r="L3" s="15" t="inlineStr">
        <is>
          <t>Options S</t>
        </is>
      </c>
    </row>
    <row r="4">
      <c r="A4" s="9" t="inlineStr">
        <is>
          <t>Date</t>
        </is>
      </c>
      <c r="B4" s="358">
        <f>'23-Oct'!B4+7</f>
        <v/>
      </c>
      <c r="C4" s="304" t="n"/>
      <c r="D4" s="18">
        <f>IF(WEEKDAY(B4)=1,"SUN",IF(WEEKDAY(B4)=2,"MON",IF(WEEKDAY(B4)=3,"TUE",IF(WEEKDAY(B4)=4,"WED",IF(WEEKDAY(B4)=5,"THU",IF(WEEKDAY(B4)=6,"FRI",IF(WEEKDAY(B4)=7,"SAT","-")))))))</f>
        <v/>
      </c>
      <c r="E4" s="19" t="inlineStr">
        <is>
          <t>before 3pm</t>
        </is>
      </c>
      <c r="F4" s="20">
        <f>'23-Oct'!F4</f>
        <v/>
      </c>
      <c r="G4" s="20">
        <f>'23-Oct'!G4</f>
        <v/>
      </c>
      <c r="H4" s="20">
        <f>'23-Oct'!H4</f>
        <v/>
      </c>
      <c r="I4" s="20">
        <f>'23-Oct'!I4</f>
        <v/>
      </c>
      <c r="J4" s="21">
        <f>'23-Oct'!J4</f>
        <v/>
      </c>
      <c r="K4" s="21">
        <f>'23-Oct'!K4</f>
        <v/>
      </c>
      <c r="L4" s="21">
        <f>'23-Oct'!L4</f>
        <v/>
      </c>
    </row>
    <row r="5" ht="16.5" customHeight="1" s="293">
      <c r="A5" s="22" t="n"/>
      <c r="B5" s="338" t="n"/>
      <c r="C5" s="24" t="n"/>
      <c r="D5" s="134" t="n"/>
      <c r="E5" s="359" t="inlineStr">
        <is>
          <t>Important!   No longer than 5 lines in each box. (Column width: 9, Font Size: 11, MS Clear Gothic)
Line feed within a cell: Alt^Enter</t>
        </is>
      </c>
      <c r="F5" s="296" t="n"/>
      <c r="G5" s="296" t="n"/>
      <c r="H5" s="296" t="n"/>
      <c r="I5" s="296" t="n"/>
      <c r="J5" s="296" t="n"/>
      <c r="K5" s="296" t="n"/>
      <c r="L5" s="297" t="n"/>
    </row>
    <row r="6" ht="14.1" customHeight="1" s="293">
      <c r="A6" s="22" t="n"/>
      <c r="B6" s="338" t="n"/>
      <c r="C6" s="24" t="n"/>
      <c r="D6" s="25" t="n"/>
      <c r="E6" s="300" t="n"/>
      <c r="F6" s="298" t="n"/>
      <c r="G6" s="298" t="n"/>
      <c r="H6" s="298" t="n"/>
      <c r="I6" s="298" t="n"/>
      <c r="J6" s="298" t="n"/>
      <c r="K6" s="298" t="n"/>
      <c r="L6" s="299" t="n"/>
      <c r="N6" s="340" t="inlineStr">
        <is>
          <t>KRX-listed ETF code begins with letter A and ETN code begins with letter Q which prevent the codes from being read as numbers rather than  text. 
US ETFs' codes are using 2 ~ 4 alphebet characters.</t>
        </is>
      </c>
      <c r="O6" s="296" t="n"/>
      <c r="P6" s="296" t="n"/>
      <c r="Q6" s="297" t="n"/>
    </row>
    <row r="7" ht="14.1" customHeight="1" s="293">
      <c r="A7" s="341" t="inlineStr">
        <is>
          <t>Strategy</t>
        </is>
      </c>
      <c r="B7" s="342" t="inlineStr">
        <is>
          <t>Background</t>
        </is>
      </c>
      <c r="C7" s="297" t="n"/>
      <c r="D7" s="38" t="n">
        <v>1</v>
      </c>
      <c r="E7" s="360" t="n"/>
      <c r="F7" s="296" t="n"/>
      <c r="G7" s="296" t="n"/>
      <c r="H7" s="296" t="n"/>
      <c r="I7" s="296" t="n"/>
      <c r="J7" s="296" t="n"/>
      <c r="K7" s="296" t="n"/>
      <c r="L7" s="297" t="n"/>
      <c r="N7" s="307" t="n"/>
      <c r="Q7" s="294" t="n"/>
    </row>
    <row r="8" ht="14.1" customHeight="1" s="293">
      <c r="A8" s="344" t="n"/>
      <c r="B8" s="307" t="n"/>
      <c r="C8" s="294" t="n"/>
      <c r="D8" s="3" t="n">
        <v>2</v>
      </c>
      <c r="E8" s="307" t="n"/>
      <c r="L8" s="294" t="n"/>
      <c r="N8" s="307" t="n"/>
      <c r="Q8" s="294" t="n"/>
    </row>
    <row r="9" ht="14.1" customHeight="1" s="293">
      <c r="A9" s="344" t="n"/>
      <c r="B9" s="307" t="n"/>
      <c r="C9" s="294" t="n"/>
      <c r="D9" s="3" t="n">
        <v>3</v>
      </c>
      <c r="E9" s="307" t="n"/>
      <c r="L9" s="294" t="n"/>
      <c r="N9" s="307" t="n"/>
      <c r="Q9" s="294" t="n"/>
    </row>
    <row r="10" ht="14.1" customHeight="1" s="293">
      <c r="A10" s="344" t="n"/>
      <c r="B10" s="307" t="n"/>
      <c r="C10" s="294" t="n"/>
      <c r="D10" s="3" t="n">
        <v>4</v>
      </c>
      <c r="E10" s="307" t="n"/>
      <c r="L10" s="294" t="n"/>
      <c r="N10" s="307" t="n"/>
      <c r="Q10" s="294" t="n"/>
    </row>
    <row r="11" ht="14.1" customHeight="1" s="293">
      <c r="A11" s="344" t="n"/>
      <c r="B11" s="300" t="n"/>
      <c r="C11" s="299" t="n"/>
      <c r="D11" s="6" t="n">
        <v>5</v>
      </c>
      <c r="E11" s="300" t="n"/>
      <c r="F11" s="298" t="n"/>
      <c r="G11" s="298" t="n"/>
      <c r="H11" s="298" t="n"/>
      <c r="I11" s="298" t="n"/>
      <c r="J11" s="298" t="n"/>
      <c r="K11" s="298" t="n"/>
      <c r="L11" s="299" t="n"/>
      <c r="N11" s="307" t="n"/>
      <c r="Q11" s="294" t="n"/>
    </row>
    <row r="12" ht="14.1" customHeight="1" s="293">
      <c r="A12" s="344" t="n"/>
      <c r="B12" s="342" t="inlineStr">
        <is>
          <t>Reasonings</t>
        </is>
      </c>
      <c r="C12" s="297" t="n"/>
      <c r="D12" s="38" t="n">
        <v>1</v>
      </c>
      <c r="E12" s="361" t="n"/>
      <c r="F12" s="296" t="n"/>
      <c r="G12" s="296" t="n"/>
      <c r="H12" s="296" t="n"/>
      <c r="I12" s="296" t="n"/>
      <c r="J12" s="296" t="n"/>
      <c r="K12" s="296" t="n"/>
      <c r="L12" s="297" t="n"/>
      <c r="N12" s="307" t="n"/>
      <c r="Q12" s="294" t="n"/>
    </row>
    <row r="13" ht="14.1" customHeight="1" s="293">
      <c r="A13" s="344" t="n"/>
      <c r="B13" s="307" t="n"/>
      <c r="C13" s="294" t="n"/>
      <c r="D13" s="3" t="n">
        <v>2</v>
      </c>
      <c r="E13" s="307" t="n"/>
      <c r="L13" s="294" t="n"/>
      <c r="N13" s="307" t="n"/>
      <c r="Q13" s="294" t="n"/>
    </row>
    <row r="14" ht="14.1" customHeight="1" s="293">
      <c r="A14" s="344" t="n"/>
      <c r="B14" s="307" t="n"/>
      <c r="C14" s="294" t="n"/>
      <c r="D14" s="3" t="n">
        <v>3</v>
      </c>
      <c r="E14" s="307" t="n"/>
      <c r="L14" s="294" t="n"/>
      <c r="N14" s="307" t="n"/>
      <c r="Q14" s="294" t="n"/>
    </row>
    <row r="15" ht="14.1" customHeight="1" s="293">
      <c r="A15" s="344" t="n"/>
      <c r="B15" s="307" t="n"/>
      <c r="C15" s="294" t="n"/>
      <c r="D15" s="3" t="n">
        <v>4</v>
      </c>
      <c r="E15" s="307" t="n"/>
      <c r="L15" s="294" t="n"/>
      <c r="N15" s="307" t="n"/>
      <c r="Q15" s="294" t="n"/>
    </row>
    <row r="16" ht="14.1" customHeight="1" s="293">
      <c r="A16" s="344" t="n"/>
      <c r="B16" s="300" t="n"/>
      <c r="C16" s="299" t="n"/>
      <c r="D16" s="6" t="n">
        <v>5</v>
      </c>
      <c r="E16" s="300" t="n"/>
      <c r="F16" s="298" t="n"/>
      <c r="G16" s="298" t="n"/>
      <c r="H16" s="298" t="n"/>
      <c r="I16" s="298" t="n"/>
      <c r="J16" s="298" t="n"/>
      <c r="K16" s="298" t="n"/>
      <c r="L16" s="299" t="n"/>
      <c r="N16" s="307" t="n"/>
      <c r="Q16" s="294" t="n"/>
    </row>
    <row r="17" ht="14.1" customHeight="1" s="293">
      <c r="A17" s="344" t="n"/>
      <c r="B17" s="342" t="inlineStr">
        <is>
          <t>Conclusions</t>
        </is>
      </c>
      <c r="C17" s="297" t="n"/>
      <c r="D17" s="38" t="n">
        <v>1</v>
      </c>
      <c r="E17" s="361" t="n"/>
      <c r="F17" s="296" t="n"/>
      <c r="G17" s="296" t="n"/>
      <c r="H17" s="296" t="n"/>
      <c r="I17" s="296" t="n"/>
      <c r="J17" s="296" t="n"/>
      <c r="K17" s="296" t="n"/>
      <c r="L17" s="297" t="n"/>
      <c r="N17" s="307" t="n"/>
      <c r="Q17" s="294" t="n"/>
    </row>
    <row r="18" ht="14.1" customHeight="1" s="293">
      <c r="A18" s="344" t="n"/>
      <c r="B18" s="307" t="n"/>
      <c r="C18" s="294" t="n"/>
      <c r="D18" s="3" t="n">
        <v>2</v>
      </c>
      <c r="E18" s="307" t="n"/>
      <c r="L18" s="294" t="n"/>
      <c r="N18" s="307" t="n"/>
      <c r="Q18" s="294" t="n"/>
    </row>
    <row r="19" ht="14.1" customHeight="1" s="293">
      <c r="A19" s="344" t="n"/>
      <c r="B19" s="307" t="n"/>
      <c r="C19" s="294" t="n"/>
      <c r="D19" s="3" t="n">
        <v>3</v>
      </c>
      <c r="E19" s="307" t="n"/>
      <c r="L19" s="294" t="n"/>
      <c r="N19" s="307" t="n"/>
      <c r="Q19" s="294" t="n"/>
    </row>
    <row r="20" ht="14.1" customHeight="1" s="293">
      <c r="A20" s="344" t="n"/>
      <c r="B20" s="307" t="n"/>
      <c r="C20" s="294" t="n"/>
      <c r="D20" s="3" t="n">
        <v>4</v>
      </c>
      <c r="E20" s="307" t="n"/>
      <c r="L20" s="294" t="n"/>
      <c r="N20" s="307" t="n"/>
      <c r="Q20" s="294" t="n"/>
    </row>
    <row r="21" ht="14.1" customHeight="1" s="293">
      <c r="A21" s="347" t="n"/>
      <c r="B21" s="300" t="n"/>
      <c r="C21" s="299" t="n"/>
      <c r="D21" s="6" t="n">
        <v>5</v>
      </c>
      <c r="E21" s="300" t="n"/>
      <c r="F21" s="298" t="n"/>
      <c r="G21" s="298" t="n"/>
      <c r="H21" s="298" t="n"/>
      <c r="I21" s="298" t="n"/>
      <c r="J21" s="298" t="n"/>
      <c r="K21" s="298" t="n"/>
      <c r="L21" s="299" t="n"/>
      <c r="N21" s="300" t="n"/>
      <c r="O21" s="298" t="n"/>
      <c r="P21" s="298" t="n"/>
      <c r="Q21" s="299" t="n"/>
    </row>
    <row r="22"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348" t="inlineStr">
        <is>
          <t>MOC(Market-on-Close) Orders</t>
        </is>
      </c>
      <c r="B23" s="303" t="n"/>
      <c r="C23" s="304" t="n"/>
      <c r="D23" s="63" t="n"/>
      <c r="E23" s="64" t="n">
        <v>1</v>
      </c>
      <c r="F23" s="65" t="n">
        <v>2</v>
      </c>
      <c r="G23" s="64" t="n">
        <v>3</v>
      </c>
      <c r="H23" s="64" t="n">
        <v>4</v>
      </c>
      <c r="I23" s="64" t="n">
        <v>5</v>
      </c>
      <c r="J23" s="64" t="n">
        <v>6</v>
      </c>
      <c r="K23" s="64" t="n">
        <v>7</v>
      </c>
      <c r="L23" s="64" t="n">
        <v>8</v>
      </c>
    </row>
    <row r="24" ht="20.4" customHeight="1" s="293">
      <c r="A24" s="66" t="n"/>
      <c r="B24" s="349" t="inlineStr">
        <is>
          <t>Buy or Sell</t>
        </is>
      </c>
      <c r="C24" s="297" t="n"/>
      <c r="D24" s="63" t="n"/>
      <c r="E24" s="67" t="n"/>
      <c r="F24" s="68" t="n"/>
      <c r="G24" s="68" t="n"/>
      <c r="H24" s="67" t="n"/>
      <c r="I24" s="67" t="n"/>
      <c r="J24" s="67" t="n"/>
      <c r="K24" s="67" t="n"/>
      <c r="L24" s="67" t="n"/>
    </row>
    <row r="25">
      <c r="A25" s="69" t="inlineStr">
        <is>
          <t>Product Name</t>
        </is>
      </c>
      <c r="B25" s="303" t="n"/>
      <c r="C25" s="304" t="n"/>
      <c r="D25" s="13" t="n"/>
      <c r="E25" s="70" t="n"/>
      <c r="F25" s="71" t="n"/>
      <c r="G25" s="71" t="n"/>
      <c r="H25" s="67" t="n"/>
      <c r="I25" s="67" t="n"/>
      <c r="J25" s="67" t="n"/>
      <c r="K25" s="67" t="n"/>
      <c r="L25" s="67" t="n"/>
    </row>
    <row r="26">
      <c r="A26" s="69" t="inlineStr">
        <is>
          <t>Product Code</t>
        </is>
      </c>
      <c r="B26" s="303" t="n"/>
      <c r="C26" s="304" t="n"/>
      <c r="D26" s="13" t="n"/>
      <c r="E26" s="67" t="n"/>
      <c r="F26" s="68" t="n"/>
      <c r="G26" s="68" t="n"/>
      <c r="H26" s="67" t="n"/>
      <c r="I26" s="67" t="n"/>
      <c r="J26" s="67" t="n"/>
      <c r="K26" s="67" t="n"/>
      <c r="L26" s="67" t="n"/>
    </row>
    <row r="27">
      <c r="A27" s="350" t="inlineStr">
        <is>
          <t>Product Type (ETF/Futures/Options)</t>
        </is>
      </c>
      <c r="B27" s="303" t="n"/>
      <c r="C27" s="304" t="n"/>
      <c r="D27" s="13" t="n"/>
      <c r="E27" s="67" t="n"/>
      <c r="F27" s="67" t="n"/>
      <c r="G27" s="67" t="n"/>
      <c r="H27" s="67" t="n"/>
      <c r="I27" s="67" t="n"/>
      <c r="J27" s="67" t="n"/>
      <c r="K27" s="67" t="n"/>
      <c r="L27" s="67" t="n"/>
    </row>
    <row r="28" ht="17" customHeight="1" s="293">
      <c r="A28" s="69" t="inlineStr">
        <is>
          <t>Size (shares, contracts)</t>
        </is>
      </c>
      <c r="B28" s="303" t="n"/>
      <c r="C28" s="304" t="n"/>
      <c r="D28" s="13" t="n"/>
      <c r="E28" s="75" t="n"/>
      <c r="F28" s="76" t="n"/>
      <c r="G28" s="76" t="n"/>
      <c r="H28" s="77" t="n"/>
      <c r="I28" s="77" t="n"/>
      <c r="J28" s="77" t="n"/>
      <c r="K28" s="77" t="n"/>
      <c r="L28" s="77" t="n"/>
    </row>
    <row r="29" ht="17" customHeight="1" s="293">
      <c r="A29" s="351" t="inlineStr">
        <is>
          <t>Multiple (Futures&amp;Options only)</t>
        </is>
      </c>
      <c r="B29" s="303" t="n"/>
      <c r="C29" s="304" t="n"/>
      <c r="D29" s="13" t="n"/>
      <c r="E29" s="81" t="n"/>
      <c r="F29" s="81" t="n"/>
      <c r="G29" s="82" t="n"/>
      <c r="H29" s="81" t="n"/>
      <c r="I29" s="81" t="n"/>
      <c r="J29" s="81" t="n"/>
      <c r="K29" s="81" t="n"/>
      <c r="L29" s="81" t="n"/>
    </row>
    <row r="30">
      <c r="A30" s="69" t="inlineStr">
        <is>
          <t>Price</t>
        </is>
      </c>
      <c r="B30" s="303" t="n"/>
      <c r="C30" s="304" t="n"/>
      <c r="D30" s="13" t="n"/>
      <c r="E30" s="84" t="inlineStr">
        <is>
          <t>Friday's closing Price</t>
        </is>
      </c>
      <c r="F30" s="85" t="inlineStr">
        <is>
          <t>Friday's closing Price</t>
        </is>
      </c>
      <c r="G30" s="85" t="inlineStr">
        <is>
          <t>Friday's closing Price</t>
        </is>
      </c>
      <c r="H30" s="85" t="inlineStr">
        <is>
          <t>Friday's closing Price</t>
        </is>
      </c>
      <c r="I30" s="85" t="inlineStr">
        <is>
          <t>Friday's closing Price</t>
        </is>
      </c>
      <c r="J30" s="85" t="inlineStr">
        <is>
          <t>Friday's closing Price</t>
        </is>
      </c>
      <c r="K30" s="85" t="inlineStr">
        <is>
          <t>Friday's closing Price</t>
        </is>
      </c>
      <c r="L30" s="85" t="inlineStr">
        <is>
          <t>Friday's closing Price</t>
        </is>
      </c>
    </row>
    <row r="31" ht="16.5" customHeight="1" s="293">
      <c r="A31" s="83" t="inlineStr">
        <is>
          <t>FX (exchange rate)</t>
        </is>
      </c>
      <c r="B31" s="303" t="n"/>
      <c r="C31" s="304" t="n"/>
      <c r="D31" s="13" t="n"/>
      <c r="E31" s="84" t="inlineStr">
        <is>
          <t>Friday's closing FX rate</t>
        </is>
      </c>
      <c r="F31" s="85" t="inlineStr">
        <is>
          <t>Friday's closing FX rate</t>
        </is>
      </c>
      <c r="G31" s="85" t="inlineStr">
        <is>
          <t>Friday's closing FX rate</t>
        </is>
      </c>
      <c r="H31" s="85" t="inlineStr">
        <is>
          <t>Friday's closing FX rate</t>
        </is>
      </c>
      <c r="I31" s="85" t="inlineStr">
        <is>
          <t>Friday's closing FX rate</t>
        </is>
      </c>
      <c r="J31" s="85" t="inlineStr">
        <is>
          <t>Friday's closing FX rate</t>
        </is>
      </c>
      <c r="K31" s="85" t="inlineStr">
        <is>
          <t>Friday's closing FX rate</t>
        </is>
      </c>
      <c r="L31" s="85" t="inlineStr">
        <is>
          <t>Friday's closing FX rate</t>
        </is>
      </c>
    </row>
    <row r="32">
      <c r="A32" s="86" t="inlineStr">
        <is>
          <t>Size Check</t>
        </is>
      </c>
      <c r="B32" s="303" t="n"/>
      <c r="C32" s="303" t="n"/>
      <c r="D32" s="13" t="n"/>
      <c r="E32" s="87">
        <f>IF(E28=0,"",IF(E28&lt;25%*E33,"OK","Too Big!"))</f>
        <v/>
      </c>
      <c r="F32" s="87">
        <f>IF(F28=0,"",IF(F28&lt;25%*F33,"OK","Too Big!"))</f>
        <v/>
      </c>
      <c r="G32" s="87">
        <f>IF(G28=0,"",IF(G28&lt;25%*G33,"OK","Too Big!"))</f>
        <v/>
      </c>
      <c r="H32" s="87">
        <f>IF(H28=0,"",IF(H28&lt;25%*H33,"OK","Too Big!"))</f>
        <v/>
      </c>
      <c r="I32" s="87">
        <f>IF(I28=0,"",IF(I28&lt;25%*I33,"OK","Too Big!"))</f>
        <v/>
      </c>
      <c r="J32" s="87">
        <f>IF(J28=0,"",IF(J28&lt;25%*J33,"OK","Too Big!"))</f>
        <v/>
      </c>
      <c r="K32" s="87">
        <f>IF(K28=0,"",IF(K28&lt;25%*K33,"OK","Too Big!"))</f>
        <v/>
      </c>
      <c r="L32" s="87">
        <f>IF(L28=0,"",IF(L28&lt;25%*L33,"OK","Too Big!"))</f>
        <v/>
      </c>
    </row>
    <row r="33">
      <c r="A33" s="88" t="inlineStr">
        <is>
          <t>Previous Thursday's daily trading volume (shares/contracts)</t>
        </is>
      </c>
      <c r="B33" s="296" t="n"/>
      <c r="C33" s="297" t="n"/>
      <c r="D33" s="13" t="n"/>
      <c r="E33" s="353" t="n"/>
      <c r="F33" s="353" t="n"/>
      <c r="G33" s="353" t="n"/>
      <c r="H33" s="353" t="n"/>
      <c r="I33" s="353" t="n"/>
      <c r="J33" s="353" t="n"/>
      <c r="K33" s="353" t="n"/>
      <c r="L33" s="353" t="n"/>
    </row>
    <row r="34" ht="16.5" customHeight="1" s="293">
      <c r="A34" s="300" t="n"/>
      <c r="B34" s="298" t="n"/>
      <c r="C34" s="299" t="n"/>
      <c r="D34" s="13" t="n"/>
      <c r="E34" s="300" t="n"/>
      <c r="F34" s="300" t="n"/>
      <c r="G34" s="300" t="n"/>
      <c r="H34" s="300" t="n"/>
      <c r="I34" s="300" t="n"/>
      <c r="J34" s="300" t="n"/>
      <c r="K34" s="300" t="n"/>
      <c r="L34" s="300" t="n"/>
    </row>
    <row r="35" ht="16.5" customHeight="1" s="293">
      <c r="A35" s="92">
        <f>'Risk Mgmt'!A25</f>
        <v/>
      </c>
      <c r="B35" s="93">
        <f>'Risk Mgmt'!B25</f>
        <v/>
      </c>
      <c r="D35" s="13" t="n"/>
      <c r="E35" s="355" t="inlineStr">
        <is>
          <t>Adjust your order size to keep it smaller than a 25% of previous Thursday's trading volume of each interest.</t>
        </is>
      </c>
      <c r="F35" s="303" t="n"/>
      <c r="G35" s="303" t="n"/>
      <c r="H35" s="303" t="n"/>
      <c r="I35" s="303" t="n"/>
      <c r="J35" s="303" t="n"/>
      <c r="K35" s="303" t="n"/>
      <c r="L35" s="304" t="n"/>
    </row>
    <row r="36" ht="16.5" customHeight="1" s="293">
      <c r="A36" s="97">
        <f>'Risk Mgmt'!A26</f>
        <v/>
      </c>
      <c r="B36" s="68">
        <f>'Risk Mgmt'!B26</f>
        <v/>
      </c>
      <c r="C36" s="68">
        <f>'Risk Mgmt'!C26</f>
        <v/>
      </c>
      <c r="D36" s="98" t="n"/>
      <c r="E36" s="356" t="inlineStr">
        <is>
          <t>[Normal Case] Total Investment &lt; KRW 10 billion --&gt; Remaining Cash Balance earns an interest of 0.035% per week.  
[Leverage Case] Total Investment &gt; KRW 10 billion --&gt;The amount over the budget (KRW 10 billion) incurs financing cost: 0.070% per week.</t>
        </is>
      </c>
      <c r="F36" s="296" t="n"/>
      <c r="G36" s="296" t="n"/>
      <c r="H36" s="296" t="n"/>
      <c r="I36" s="296" t="n"/>
      <c r="J36" s="296" t="n"/>
      <c r="K36" s="296" t="n"/>
      <c r="L36" s="297" t="n"/>
    </row>
    <row r="37" ht="16.5" customHeight="1" s="293">
      <c r="A37" s="97">
        <f>'Risk Mgmt'!A27</f>
        <v/>
      </c>
      <c r="B37" s="68">
        <f>'Risk Mgmt'!B27</f>
        <v/>
      </c>
      <c r="C37" s="68">
        <f>'Risk Mgmt'!C27</f>
        <v/>
      </c>
      <c r="D37" s="98" t="n"/>
      <c r="E37" s="307" t="n"/>
      <c r="L37" s="294" t="n"/>
    </row>
    <row r="38" ht="20.4" customHeight="1" s="293">
      <c r="A38" s="97">
        <f>'Risk Mgmt'!A28</f>
        <v/>
      </c>
      <c r="B38" s="68">
        <f>'Risk Mgmt'!B28</f>
        <v/>
      </c>
      <c r="C38" s="68">
        <f>'Risk Mgmt'!C28</f>
        <v/>
      </c>
      <c r="D38" s="105" t="n"/>
      <c r="E38" s="300" t="n"/>
      <c r="F38" s="298" t="n"/>
      <c r="G38" s="298" t="n"/>
      <c r="H38" s="298" t="n"/>
      <c r="I38" s="298" t="n"/>
      <c r="J38" s="298" t="n"/>
      <c r="K38" s="298" t="n"/>
      <c r="L38" s="299" t="n"/>
    </row>
    <row r="39" ht="18" customHeight="1" s="293">
      <c r="A39" s="97">
        <f>'Risk Mgmt'!A29</f>
        <v/>
      </c>
      <c r="B39" s="68">
        <f>'Risk Mgmt'!B29</f>
        <v/>
      </c>
      <c r="C39" s="68">
        <f>'Risk Mgmt'!C29</f>
        <v/>
      </c>
      <c r="D39" s="105" t="n"/>
      <c r="E39" s="357" t="inlineStr">
        <is>
          <t>Check if your orders are in compliance with your team's (self-made) risk management rules!</t>
        </is>
      </c>
      <c r="F39" s="303" t="n"/>
      <c r="G39" s="303" t="n"/>
      <c r="H39" s="303" t="n"/>
      <c r="I39" s="303" t="n"/>
      <c r="J39" s="303" t="n"/>
      <c r="K39" s="303" t="n"/>
      <c r="L39" s="304" t="n"/>
    </row>
    <row r="40">
      <c r="A40" s="112" t="n"/>
      <c r="B40" s="112" t="n"/>
      <c r="C40" s="112" t="n"/>
    </row>
  </sheetData>
  <mergeCells count="37">
    <mergeCell ref="A25:C25"/>
    <mergeCell ref="K33:K34"/>
    <mergeCell ref="B3:C3"/>
    <mergeCell ref="E12:L16"/>
    <mergeCell ref="E33:E34"/>
    <mergeCell ref="A27:C27"/>
    <mergeCell ref="B7:C11"/>
    <mergeCell ref="A26:C26"/>
    <mergeCell ref="E39:L39"/>
    <mergeCell ref="E35:L35"/>
    <mergeCell ref="D1:I2"/>
    <mergeCell ref="A7:A21"/>
    <mergeCell ref="A23:C23"/>
    <mergeCell ref="A32:C32"/>
    <mergeCell ref="A1:C2"/>
    <mergeCell ref="L33:L34"/>
    <mergeCell ref="B12:C16"/>
    <mergeCell ref="F33:F34"/>
    <mergeCell ref="N6:Q21"/>
    <mergeCell ref="A29:C29"/>
    <mergeCell ref="I33:I34"/>
    <mergeCell ref="E17:L21"/>
    <mergeCell ref="A28:C28"/>
    <mergeCell ref="B17:C21"/>
    <mergeCell ref="G33:G34"/>
    <mergeCell ref="A31:C31"/>
    <mergeCell ref="A30:C30"/>
    <mergeCell ref="E36:L38"/>
    <mergeCell ref="E5:L6"/>
    <mergeCell ref="B24:C24"/>
    <mergeCell ref="H33:H34"/>
    <mergeCell ref="J33:J34"/>
    <mergeCell ref="K1:L2"/>
    <mergeCell ref="E7:L11"/>
    <mergeCell ref="A33:C34"/>
    <mergeCell ref="J1:J2"/>
    <mergeCell ref="B4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Q40"/>
  <sheetViews>
    <sheetView zoomScale="80" zoomScaleNormal="80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E33" sqref="E33:E34"/>
    </sheetView>
  </sheetViews>
  <sheetFormatPr baseColWidth="8" defaultColWidth="9" defaultRowHeight="16.8"/>
  <cols>
    <col width="14.25" customWidth="1" style="1" min="1" max="1"/>
    <col width="9" customWidth="1" style="1" min="2" max="3"/>
    <col width="4" customWidth="1" style="1" min="4" max="4"/>
    <col width="18.5" customWidth="1" style="1" min="5" max="12"/>
    <col width="9" customWidth="1" style="1" min="13" max="16384"/>
  </cols>
  <sheetData>
    <row r="1" ht="16.5" customHeight="1" s="293">
      <c r="A1" s="172">
        <f>'Risk Mgmt'!A1</f>
        <v/>
      </c>
      <c r="D1" s="4" t="inlineStr">
        <is>
          <t>An Executive Summary for Investors: Strategy &amp; Order(s)</t>
        </is>
      </c>
      <c r="J1" s="7" t="inlineStr">
        <is>
          <t>as of</t>
        </is>
      </c>
      <c r="K1" s="8">
        <f>TEXT(B4,"YYYY-MM-DD")</f>
        <v/>
      </c>
    </row>
    <row r="2" ht="16.5" customHeight="1" s="293">
      <c r="A2" s="298" t="n"/>
      <c r="B2" s="298" t="n"/>
      <c r="C2" s="298" t="n"/>
      <c r="J2" s="298" t="n"/>
      <c r="K2" s="298" t="n"/>
      <c r="L2" s="298" t="n"/>
    </row>
    <row r="3">
      <c r="A3" s="9" t="inlineStr">
        <is>
          <t>Company</t>
        </is>
      </c>
      <c r="B3" s="337">
        <f>'Risk Mgmt'!B3</f>
        <v/>
      </c>
      <c r="C3" s="304" t="n"/>
      <c r="D3" s="12" t="n"/>
      <c r="E3" s="13" t="n"/>
      <c r="F3" s="14" t="inlineStr">
        <is>
          <t>Loss-cut</t>
        </is>
      </c>
      <c r="G3" s="14" t="inlineStr">
        <is>
          <t>Profit-taking</t>
        </is>
      </c>
      <c r="H3" s="14" t="inlineStr">
        <is>
          <t>ETF</t>
        </is>
      </c>
      <c r="I3" s="14" t="inlineStr">
        <is>
          <t>Country</t>
        </is>
      </c>
      <c r="J3" s="15" t="inlineStr">
        <is>
          <t>Futures</t>
        </is>
      </c>
      <c r="K3" s="15" t="inlineStr">
        <is>
          <t>Options L</t>
        </is>
      </c>
      <c r="L3" s="15" t="inlineStr">
        <is>
          <t>Options S</t>
        </is>
      </c>
    </row>
    <row r="4">
      <c r="A4" s="9" t="inlineStr">
        <is>
          <t>Date</t>
        </is>
      </c>
      <c r="B4" s="358">
        <f>'30-Oct'!B4+7</f>
        <v/>
      </c>
      <c r="C4" s="304" t="n"/>
      <c r="D4" s="18">
        <f>IF(WEEKDAY(B4)=1,"SUN",IF(WEEKDAY(B4)=2,"MON",IF(WEEKDAY(B4)=3,"TUE",IF(WEEKDAY(B4)=4,"WED",IF(WEEKDAY(B4)=5,"THU",IF(WEEKDAY(B4)=6,"FRI",IF(WEEKDAY(B4)=7,"SAT","-")))))))</f>
        <v/>
      </c>
      <c r="E4" s="19" t="inlineStr">
        <is>
          <t>before 3pm</t>
        </is>
      </c>
      <c r="F4" s="20">
        <f>'30-Oct'!F4</f>
        <v/>
      </c>
      <c r="G4" s="20">
        <f>'30-Oct'!G4</f>
        <v/>
      </c>
      <c r="H4" s="20">
        <f>'30-Oct'!H4</f>
        <v/>
      </c>
      <c r="I4" s="20">
        <f>'30-Oct'!I4</f>
        <v/>
      </c>
      <c r="J4" s="21">
        <f>'30-Oct'!J4</f>
        <v/>
      </c>
      <c r="K4" s="21">
        <f>'30-Oct'!K4</f>
        <v/>
      </c>
      <c r="L4" s="21">
        <f>'30-Oct'!L4</f>
        <v/>
      </c>
    </row>
    <row r="5" ht="16.5" customHeight="1" s="293">
      <c r="A5" s="22" t="n"/>
      <c r="B5" s="338" t="n"/>
      <c r="C5" s="24" t="n"/>
      <c r="D5" s="25" t="n"/>
      <c r="E5" s="359" t="inlineStr">
        <is>
          <t>Important!   No longer than 5 lines in each box. (Column width: 9, Font Size: 11, MS Clear Gothic)
Line feed within a cell: Alt^Enter</t>
        </is>
      </c>
      <c r="F5" s="296" t="n"/>
      <c r="G5" s="296" t="n"/>
      <c r="H5" s="296" t="n"/>
      <c r="I5" s="296" t="n"/>
      <c r="J5" s="296" t="n"/>
      <c r="K5" s="296" t="n"/>
      <c r="L5" s="297" t="n"/>
    </row>
    <row r="6" ht="14.1" customHeight="1" s="293">
      <c r="A6" s="22" t="n"/>
      <c r="B6" s="338" t="n"/>
      <c r="C6" s="24" t="n"/>
      <c r="D6" s="25" t="n"/>
      <c r="E6" s="300" t="n"/>
      <c r="F6" s="298" t="n"/>
      <c r="G6" s="298" t="n"/>
      <c r="H6" s="298" t="n"/>
      <c r="I6" s="298" t="n"/>
      <c r="J6" s="298" t="n"/>
      <c r="K6" s="298" t="n"/>
      <c r="L6" s="299" t="n"/>
      <c r="N6" s="340" t="inlineStr">
        <is>
          <t>KRX-listed ETF code begins with letter A and ETN code begins with letter Q which prevent the codes from being read as numbers rather than  text. 
US ETFs' codes are using 2 ~ 4 alphebet characters.</t>
        </is>
      </c>
      <c r="O6" s="296" t="n"/>
      <c r="P6" s="296" t="n"/>
      <c r="Q6" s="297" t="n"/>
    </row>
    <row r="7" ht="14.1" customHeight="1" s="293">
      <c r="A7" s="341" t="inlineStr">
        <is>
          <t>Strategy</t>
        </is>
      </c>
      <c r="B7" s="342" t="inlineStr">
        <is>
          <t>Background</t>
        </is>
      </c>
      <c r="C7" s="297" t="n"/>
      <c r="D7" s="38" t="n">
        <v>1</v>
      </c>
      <c r="E7" s="360" t="n"/>
      <c r="F7" s="296" t="n"/>
      <c r="G7" s="296" t="n"/>
      <c r="H7" s="296" t="n"/>
      <c r="I7" s="296" t="n"/>
      <c r="J7" s="296" t="n"/>
      <c r="K7" s="296" t="n"/>
      <c r="L7" s="297" t="n"/>
      <c r="N7" s="307" t="n"/>
      <c r="Q7" s="294" t="n"/>
    </row>
    <row r="8" ht="14.1" customHeight="1" s="293">
      <c r="A8" s="344" t="n"/>
      <c r="B8" s="307" t="n"/>
      <c r="C8" s="294" t="n"/>
      <c r="D8" s="3" t="n">
        <v>2</v>
      </c>
      <c r="E8" s="307" t="n"/>
      <c r="L8" s="294" t="n"/>
      <c r="N8" s="307" t="n"/>
      <c r="Q8" s="294" t="n"/>
    </row>
    <row r="9" ht="14.1" customHeight="1" s="293">
      <c r="A9" s="344" t="n"/>
      <c r="B9" s="307" t="n"/>
      <c r="C9" s="294" t="n"/>
      <c r="D9" s="3" t="n">
        <v>3</v>
      </c>
      <c r="E9" s="307" t="n"/>
      <c r="L9" s="294" t="n"/>
      <c r="N9" s="307" t="n"/>
      <c r="Q9" s="294" t="n"/>
    </row>
    <row r="10" ht="14.1" customHeight="1" s="293">
      <c r="A10" s="344" t="n"/>
      <c r="B10" s="307" t="n"/>
      <c r="C10" s="294" t="n"/>
      <c r="D10" s="3" t="n">
        <v>4</v>
      </c>
      <c r="E10" s="307" t="n"/>
      <c r="L10" s="294" t="n"/>
      <c r="N10" s="307" t="n"/>
      <c r="Q10" s="294" t="n"/>
    </row>
    <row r="11" ht="14.1" customHeight="1" s="293">
      <c r="A11" s="344" t="n"/>
      <c r="B11" s="300" t="n"/>
      <c r="C11" s="299" t="n"/>
      <c r="D11" s="6" t="n">
        <v>5</v>
      </c>
      <c r="E11" s="300" t="n"/>
      <c r="F11" s="298" t="n"/>
      <c r="G11" s="298" t="n"/>
      <c r="H11" s="298" t="n"/>
      <c r="I11" s="298" t="n"/>
      <c r="J11" s="298" t="n"/>
      <c r="K11" s="298" t="n"/>
      <c r="L11" s="299" t="n"/>
      <c r="N11" s="307" t="n"/>
      <c r="Q11" s="294" t="n"/>
    </row>
    <row r="12" ht="14.1" customHeight="1" s="293">
      <c r="A12" s="344" t="n"/>
      <c r="B12" s="342" t="inlineStr">
        <is>
          <t>Reasonings</t>
        </is>
      </c>
      <c r="C12" s="297" t="n"/>
      <c r="D12" s="38" t="n">
        <v>1</v>
      </c>
      <c r="E12" s="361" t="n"/>
      <c r="F12" s="296" t="n"/>
      <c r="G12" s="296" t="n"/>
      <c r="H12" s="296" t="n"/>
      <c r="I12" s="296" t="n"/>
      <c r="J12" s="296" t="n"/>
      <c r="K12" s="296" t="n"/>
      <c r="L12" s="297" t="n"/>
      <c r="N12" s="307" t="n"/>
      <c r="Q12" s="294" t="n"/>
    </row>
    <row r="13" ht="14.1" customHeight="1" s="293">
      <c r="A13" s="344" t="n"/>
      <c r="B13" s="307" t="n"/>
      <c r="C13" s="294" t="n"/>
      <c r="D13" s="3" t="n">
        <v>2</v>
      </c>
      <c r="E13" s="307" t="n"/>
      <c r="L13" s="294" t="n"/>
      <c r="N13" s="307" t="n"/>
      <c r="Q13" s="294" t="n"/>
    </row>
    <row r="14" ht="14.1" customHeight="1" s="293">
      <c r="A14" s="344" t="n"/>
      <c r="B14" s="307" t="n"/>
      <c r="C14" s="294" t="n"/>
      <c r="D14" s="3" t="n">
        <v>3</v>
      </c>
      <c r="E14" s="307" t="n"/>
      <c r="L14" s="294" t="n"/>
      <c r="N14" s="307" t="n"/>
      <c r="Q14" s="294" t="n"/>
    </row>
    <row r="15" ht="14.1" customHeight="1" s="293">
      <c r="A15" s="344" t="n"/>
      <c r="B15" s="307" t="n"/>
      <c r="C15" s="294" t="n"/>
      <c r="D15" s="3" t="n">
        <v>4</v>
      </c>
      <c r="E15" s="307" t="n"/>
      <c r="L15" s="294" t="n"/>
      <c r="N15" s="307" t="n"/>
      <c r="Q15" s="294" t="n"/>
    </row>
    <row r="16" ht="14.1" customHeight="1" s="293">
      <c r="A16" s="344" t="n"/>
      <c r="B16" s="300" t="n"/>
      <c r="C16" s="299" t="n"/>
      <c r="D16" s="6" t="n">
        <v>5</v>
      </c>
      <c r="E16" s="300" t="n"/>
      <c r="F16" s="298" t="n"/>
      <c r="G16" s="298" t="n"/>
      <c r="H16" s="298" t="n"/>
      <c r="I16" s="298" t="n"/>
      <c r="J16" s="298" t="n"/>
      <c r="K16" s="298" t="n"/>
      <c r="L16" s="299" t="n"/>
      <c r="N16" s="307" t="n"/>
      <c r="Q16" s="294" t="n"/>
    </row>
    <row r="17" ht="14.1" customHeight="1" s="293">
      <c r="A17" s="344" t="n"/>
      <c r="B17" s="342" t="inlineStr">
        <is>
          <t>Conclusions</t>
        </is>
      </c>
      <c r="C17" s="297" t="n"/>
      <c r="D17" s="38" t="n">
        <v>1</v>
      </c>
      <c r="E17" s="361" t="n"/>
      <c r="F17" s="296" t="n"/>
      <c r="G17" s="296" t="n"/>
      <c r="H17" s="296" t="n"/>
      <c r="I17" s="296" t="n"/>
      <c r="J17" s="296" t="n"/>
      <c r="K17" s="296" t="n"/>
      <c r="L17" s="297" t="n"/>
      <c r="N17" s="307" t="n"/>
      <c r="Q17" s="294" t="n"/>
    </row>
    <row r="18" ht="14.1" customHeight="1" s="293">
      <c r="A18" s="344" t="n"/>
      <c r="B18" s="307" t="n"/>
      <c r="C18" s="294" t="n"/>
      <c r="D18" s="3" t="n">
        <v>2</v>
      </c>
      <c r="E18" s="307" t="n"/>
      <c r="L18" s="294" t="n"/>
      <c r="N18" s="307" t="n"/>
      <c r="Q18" s="294" t="n"/>
    </row>
    <row r="19" ht="14.1" customHeight="1" s="293">
      <c r="A19" s="344" t="n"/>
      <c r="B19" s="307" t="n"/>
      <c r="C19" s="294" t="n"/>
      <c r="D19" s="3" t="n">
        <v>3</v>
      </c>
      <c r="E19" s="307" t="n"/>
      <c r="L19" s="294" t="n"/>
      <c r="N19" s="307" t="n"/>
      <c r="Q19" s="294" t="n"/>
    </row>
    <row r="20" ht="14.1" customHeight="1" s="293">
      <c r="A20" s="344" t="n"/>
      <c r="B20" s="307" t="n"/>
      <c r="C20" s="294" t="n"/>
      <c r="D20" s="3" t="n">
        <v>4</v>
      </c>
      <c r="E20" s="307" t="n"/>
      <c r="L20" s="294" t="n"/>
      <c r="N20" s="307" t="n"/>
      <c r="Q20" s="294" t="n"/>
    </row>
    <row r="21" ht="14.1" customHeight="1" s="293">
      <c r="A21" s="347" t="n"/>
      <c r="B21" s="300" t="n"/>
      <c r="C21" s="299" t="n"/>
      <c r="D21" s="6" t="n">
        <v>5</v>
      </c>
      <c r="E21" s="300" t="n"/>
      <c r="F21" s="298" t="n"/>
      <c r="G21" s="298" t="n"/>
      <c r="H21" s="298" t="n"/>
      <c r="I21" s="298" t="n"/>
      <c r="J21" s="298" t="n"/>
      <c r="K21" s="298" t="n"/>
      <c r="L21" s="299" t="n"/>
      <c r="N21" s="300" t="n"/>
      <c r="O21" s="298" t="n"/>
      <c r="P21" s="298" t="n"/>
      <c r="Q21" s="299" t="n"/>
    </row>
    <row r="22"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348" t="inlineStr">
        <is>
          <t>MOC(Market-on-Close) Orders</t>
        </is>
      </c>
      <c r="B23" s="303" t="n"/>
      <c r="C23" s="304" t="n"/>
      <c r="D23" s="63" t="n"/>
      <c r="E23" s="64" t="n">
        <v>1</v>
      </c>
      <c r="F23" s="65" t="n">
        <v>2</v>
      </c>
      <c r="G23" s="64" t="n">
        <v>3</v>
      </c>
      <c r="H23" s="64" t="n">
        <v>4</v>
      </c>
      <c r="I23" s="64" t="n">
        <v>5</v>
      </c>
      <c r="J23" s="64" t="n">
        <v>6</v>
      </c>
      <c r="K23" s="64" t="n">
        <v>7</v>
      </c>
      <c r="L23" s="64" t="n">
        <v>8</v>
      </c>
    </row>
    <row r="24" ht="20.4" customHeight="1" s="293">
      <c r="A24" s="66" t="n"/>
      <c r="B24" s="349" t="inlineStr">
        <is>
          <t>Buy or Sell</t>
        </is>
      </c>
      <c r="C24" s="297" t="n"/>
      <c r="D24" s="63" t="n"/>
      <c r="E24" s="67" t="n"/>
      <c r="F24" s="68" t="n"/>
      <c r="G24" s="68" t="n"/>
      <c r="H24" s="67" t="n"/>
      <c r="I24" s="67" t="n"/>
      <c r="J24" s="67" t="n"/>
      <c r="K24" s="67" t="n"/>
      <c r="L24" s="67" t="n"/>
    </row>
    <row r="25">
      <c r="A25" s="69" t="inlineStr">
        <is>
          <t>Product Name</t>
        </is>
      </c>
      <c r="B25" s="303" t="n"/>
      <c r="C25" s="304" t="n"/>
      <c r="D25" s="13" t="n"/>
      <c r="E25" s="70" t="n"/>
      <c r="F25" s="71" t="n"/>
      <c r="G25" s="71" t="n"/>
      <c r="H25" s="67" t="n"/>
      <c r="I25" s="67" t="n"/>
      <c r="J25" s="67" t="n"/>
      <c r="K25" s="67" t="n"/>
      <c r="L25" s="67" t="n"/>
    </row>
    <row r="26">
      <c r="A26" s="69" t="inlineStr">
        <is>
          <t>Product Code</t>
        </is>
      </c>
      <c r="B26" s="303" t="n"/>
      <c r="C26" s="304" t="n"/>
      <c r="D26" s="13" t="n"/>
      <c r="E26" s="67" t="n"/>
      <c r="F26" s="68" t="n"/>
      <c r="G26" s="68" t="n"/>
      <c r="H26" s="67" t="n"/>
      <c r="I26" s="67" t="n"/>
      <c r="J26" s="67" t="n"/>
      <c r="K26" s="67" t="n"/>
      <c r="L26" s="67" t="n"/>
    </row>
    <row r="27">
      <c r="A27" s="350" t="inlineStr">
        <is>
          <t>Product Type (ETF/Futures/Options)</t>
        </is>
      </c>
      <c r="B27" s="303" t="n"/>
      <c r="C27" s="304" t="n"/>
      <c r="D27" s="13" t="n"/>
      <c r="E27" s="67" t="n"/>
      <c r="F27" s="67" t="n"/>
      <c r="G27" s="67" t="n"/>
      <c r="H27" s="67" t="n"/>
      <c r="I27" s="67" t="n"/>
      <c r="J27" s="67" t="n"/>
      <c r="K27" s="67" t="n"/>
      <c r="L27" s="67" t="n"/>
    </row>
    <row r="28" ht="17" customHeight="1" s="293">
      <c r="A28" s="69" t="inlineStr">
        <is>
          <t>Size (shares, contracts)</t>
        </is>
      </c>
      <c r="B28" s="303" t="n"/>
      <c r="C28" s="304" t="n"/>
      <c r="D28" s="13" t="n"/>
      <c r="E28" s="75" t="n"/>
      <c r="F28" s="76" t="n"/>
      <c r="G28" s="76" t="n"/>
      <c r="H28" s="77" t="n"/>
      <c r="I28" s="77" t="n"/>
      <c r="J28" s="77" t="n"/>
      <c r="K28" s="77" t="n"/>
      <c r="L28" s="77" t="n"/>
    </row>
    <row r="29" ht="17" customHeight="1" s="293">
      <c r="A29" s="351" t="inlineStr">
        <is>
          <t>Multiple (Futures&amp;Options only)</t>
        </is>
      </c>
      <c r="B29" s="303" t="n"/>
      <c r="C29" s="304" t="n"/>
      <c r="D29" s="13" t="n"/>
      <c r="E29" s="81" t="n"/>
      <c r="F29" s="81" t="n"/>
      <c r="G29" s="82" t="n"/>
      <c r="H29" s="81" t="n"/>
      <c r="I29" s="81" t="n"/>
      <c r="J29" s="81" t="n"/>
      <c r="K29" s="81" t="n"/>
      <c r="L29" s="81" t="n"/>
    </row>
    <row r="30">
      <c r="A30" s="69" t="inlineStr">
        <is>
          <t>Price</t>
        </is>
      </c>
      <c r="B30" s="303" t="n"/>
      <c r="C30" s="304" t="n"/>
      <c r="D30" s="13" t="n"/>
      <c r="E30" s="84" t="inlineStr">
        <is>
          <t>Friday's closing Price</t>
        </is>
      </c>
      <c r="F30" s="85" t="inlineStr">
        <is>
          <t>Friday's closing Price</t>
        </is>
      </c>
      <c r="G30" s="85" t="inlineStr">
        <is>
          <t>Friday's closing Price</t>
        </is>
      </c>
      <c r="H30" s="85" t="inlineStr">
        <is>
          <t>Friday's closing Price</t>
        </is>
      </c>
      <c r="I30" s="85" t="inlineStr">
        <is>
          <t>Friday's closing Price</t>
        </is>
      </c>
      <c r="J30" s="85" t="inlineStr">
        <is>
          <t>Friday's closing Price</t>
        </is>
      </c>
      <c r="K30" s="85" t="inlineStr">
        <is>
          <t>Friday's closing Price</t>
        </is>
      </c>
      <c r="L30" s="85" t="inlineStr">
        <is>
          <t>Friday's closing Price</t>
        </is>
      </c>
    </row>
    <row r="31" ht="16.5" customHeight="1" s="293">
      <c r="A31" s="83" t="inlineStr">
        <is>
          <t>FX (exchange rate)</t>
        </is>
      </c>
      <c r="B31" s="303" t="n"/>
      <c r="C31" s="304" t="n"/>
      <c r="D31" s="13" t="n"/>
      <c r="E31" s="84" t="inlineStr">
        <is>
          <t>Friday's closing FX rate</t>
        </is>
      </c>
      <c r="F31" s="85" t="inlineStr">
        <is>
          <t>Friday's closing FX rate</t>
        </is>
      </c>
      <c r="G31" s="85" t="inlineStr">
        <is>
          <t>Friday's closing FX rate</t>
        </is>
      </c>
      <c r="H31" s="85" t="inlineStr">
        <is>
          <t>Friday's closing FX rate</t>
        </is>
      </c>
      <c r="I31" s="85" t="inlineStr">
        <is>
          <t>Friday's closing FX rate</t>
        </is>
      </c>
      <c r="J31" s="85" t="inlineStr">
        <is>
          <t>Friday's closing FX rate</t>
        </is>
      </c>
      <c r="K31" s="85" t="inlineStr">
        <is>
          <t>Friday's closing FX rate</t>
        </is>
      </c>
      <c r="L31" s="85" t="inlineStr">
        <is>
          <t>Friday's closing FX rate</t>
        </is>
      </c>
    </row>
    <row r="32">
      <c r="A32" s="86" t="inlineStr">
        <is>
          <t>Size Check</t>
        </is>
      </c>
      <c r="B32" s="303" t="n"/>
      <c r="C32" s="303" t="n"/>
      <c r="D32" s="13" t="n"/>
      <c r="E32" s="87">
        <f>IF(E28=0,"",IF(E28&lt;25%*E33,"OK","Too Big!"))</f>
        <v/>
      </c>
      <c r="F32" s="87">
        <f>IF(F28=0,"",IF(F28&lt;25%*F33,"OK","Too Big!"))</f>
        <v/>
      </c>
      <c r="G32" s="87">
        <f>IF(G28=0,"",IF(G28&lt;25%*G33,"OK","Too Big!"))</f>
        <v/>
      </c>
      <c r="H32" s="87">
        <f>IF(H28=0,"",IF(H28&lt;25%*H33,"OK","Too Big!"))</f>
        <v/>
      </c>
      <c r="I32" s="87">
        <f>IF(I28=0,"",IF(I28&lt;25%*I33,"OK","Too Big!"))</f>
        <v/>
      </c>
      <c r="J32" s="87">
        <f>IF(J28=0,"",IF(J28&lt;25%*J33,"OK","Too Big!"))</f>
        <v/>
      </c>
      <c r="K32" s="87">
        <f>IF(K28=0,"",IF(K28&lt;25%*K33,"OK","Too Big!"))</f>
        <v/>
      </c>
      <c r="L32" s="87">
        <f>IF(L28=0,"",IF(L28&lt;25%*L33,"OK","Too Big!"))</f>
        <v/>
      </c>
    </row>
    <row r="33">
      <c r="A33" s="88" t="inlineStr">
        <is>
          <t>Previous Thursday's daily trading volume (shares/contracts)</t>
        </is>
      </c>
      <c r="B33" s="296" t="n"/>
      <c r="C33" s="297" t="n"/>
      <c r="D33" s="13" t="n"/>
      <c r="E33" s="353" t="n"/>
      <c r="F33" s="353" t="n"/>
      <c r="G33" s="353" t="n"/>
      <c r="H33" s="353" t="n"/>
      <c r="I33" s="353" t="n"/>
      <c r="J33" s="353" t="n"/>
      <c r="K33" s="353" t="n"/>
      <c r="L33" s="353" t="n"/>
    </row>
    <row r="34" ht="16.5" customHeight="1" s="293">
      <c r="A34" s="300" t="n"/>
      <c r="B34" s="298" t="n"/>
      <c r="C34" s="299" t="n"/>
      <c r="D34" s="13" t="n"/>
      <c r="E34" s="300" t="n"/>
      <c r="F34" s="300" t="n"/>
      <c r="G34" s="300" t="n"/>
      <c r="H34" s="300" t="n"/>
      <c r="I34" s="300" t="n"/>
      <c r="J34" s="300" t="n"/>
      <c r="K34" s="300" t="n"/>
      <c r="L34" s="300" t="n"/>
    </row>
    <row r="35" ht="16.5" customHeight="1" s="293">
      <c r="A35" s="92">
        <f>'Risk Mgmt'!A25</f>
        <v/>
      </c>
      <c r="B35" s="93">
        <f>'Risk Mgmt'!B25</f>
        <v/>
      </c>
      <c r="D35" s="13" t="n"/>
      <c r="E35" s="355" t="inlineStr">
        <is>
          <t>Adjust your order size to keep it smaller than a 25% of previous Thursday's trading volume of each interest.</t>
        </is>
      </c>
      <c r="F35" s="303" t="n"/>
      <c r="G35" s="303" t="n"/>
      <c r="H35" s="303" t="n"/>
      <c r="I35" s="303" t="n"/>
      <c r="J35" s="303" t="n"/>
      <c r="K35" s="303" t="n"/>
      <c r="L35" s="304" t="n"/>
    </row>
    <row r="36" ht="16.5" customHeight="1" s="293">
      <c r="A36" s="97">
        <f>'Risk Mgmt'!A26</f>
        <v/>
      </c>
      <c r="B36" s="68">
        <f>'Risk Mgmt'!B26</f>
        <v/>
      </c>
      <c r="C36" s="68">
        <f>'Risk Mgmt'!C26</f>
        <v/>
      </c>
      <c r="D36" s="98" t="n"/>
      <c r="E36" s="356" t="inlineStr">
        <is>
          <t>[Normal Case] Total Investment &lt; KRW 10 billion --&gt; Remaining Cash Balance earns an interest of 0.035% per week.  
[Leverage Case] Total Investment &gt; KRW 10 billion --&gt;The amount over the budget (KRW 10 billion) incurs financing cost: 0.070% per week.</t>
        </is>
      </c>
      <c r="F36" s="296" t="n"/>
      <c r="G36" s="296" t="n"/>
      <c r="H36" s="296" t="n"/>
      <c r="I36" s="296" t="n"/>
      <c r="J36" s="296" t="n"/>
      <c r="K36" s="296" t="n"/>
      <c r="L36" s="297" t="n"/>
    </row>
    <row r="37" ht="16.5" customHeight="1" s="293">
      <c r="A37" s="97">
        <f>'Risk Mgmt'!A27</f>
        <v/>
      </c>
      <c r="B37" s="68">
        <f>'Risk Mgmt'!B27</f>
        <v/>
      </c>
      <c r="C37" s="68">
        <f>'Risk Mgmt'!C27</f>
        <v/>
      </c>
      <c r="D37" s="98" t="n"/>
      <c r="E37" s="307" t="n"/>
      <c r="L37" s="294" t="n"/>
    </row>
    <row r="38" ht="20.4" customHeight="1" s="293">
      <c r="A38" s="97">
        <f>'Risk Mgmt'!A28</f>
        <v/>
      </c>
      <c r="B38" s="68">
        <f>'Risk Mgmt'!B28</f>
        <v/>
      </c>
      <c r="C38" s="68">
        <f>'Risk Mgmt'!C28</f>
        <v/>
      </c>
      <c r="D38" s="105" t="n"/>
      <c r="E38" s="300" t="n"/>
      <c r="F38" s="298" t="n"/>
      <c r="G38" s="298" t="n"/>
      <c r="H38" s="298" t="n"/>
      <c r="I38" s="298" t="n"/>
      <c r="J38" s="298" t="n"/>
      <c r="K38" s="298" t="n"/>
      <c r="L38" s="299" t="n"/>
    </row>
    <row r="39" ht="18" customHeight="1" s="293">
      <c r="A39" s="97">
        <f>'Risk Mgmt'!A29</f>
        <v/>
      </c>
      <c r="B39" s="68">
        <f>'Risk Mgmt'!B29</f>
        <v/>
      </c>
      <c r="C39" s="68">
        <f>'Risk Mgmt'!C29</f>
        <v/>
      </c>
      <c r="D39" s="105" t="n"/>
      <c r="E39" s="357" t="inlineStr">
        <is>
          <t>Check if your orders are in compliance with your team's (self-made) risk management rules!</t>
        </is>
      </c>
      <c r="F39" s="303" t="n"/>
      <c r="G39" s="303" t="n"/>
      <c r="H39" s="303" t="n"/>
      <c r="I39" s="303" t="n"/>
      <c r="J39" s="303" t="n"/>
      <c r="K39" s="303" t="n"/>
      <c r="L39" s="304" t="n"/>
    </row>
    <row r="40">
      <c r="A40" s="112" t="n"/>
      <c r="B40" s="112" t="n"/>
      <c r="C40" s="112" t="n"/>
    </row>
  </sheetData>
  <mergeCells count="37">
    <mergeCell ref="A25:C25"/>
    <mergeCell ref="K33:K34"/>
    <mergeCell ref="B3:C3"/>
    <mergeCell ref="E12:L16"/>
    <mergeCell ref="E33:E34"/>
    <mergeCell ref="A27:C27"/>
    <mergeCell ref="B7:C11"/>
    <mergeCell ref="A26:C26"/>
    <mergeCell ref="E39:L39"/>
    <mergeCell ref="E35:L35"/>
    <mergeCell ref="D1:I2"/>
    <mergeCell ref="A7:A21"/>
    <mergeCell ref="A23:C23"/>
    <mergeCell ref="A32:C32"/>
    <mergeCell ref="A1:C2"/>
    <mergeCell ref="L33:L34"/>
    <mergeCell ref="B12:C16"/>
    <mergeCell ref="F33:F34"/>
    <mergeCell ref="N6:Q21"/>
    <mergeCell ref="A29:C29"/>
    <mergeCell ref="I33:I34"/>
    <mergeCell ref="E17:L21"/>
    <mergeCell ref="A28:C28"/>
    <mergeCell ref="B17:C21"/>
    <mergeCell ref="G33:G34"/>
    <mergeCell ref="A31:C31"/>
    <mergeCell ref="A30:C30"/>
    <mergeCell ref="E36:L38"/>
    <mergeCell ref="E5:L6"/>
    <mergeCell ref="B24:C24"/>
    <mergeCell ref="H33:H34"/>
    <mergeCell ref="J33:J34"/>
    <mergeCell ref="K1:L2"/>
    <mergeCell ref="E7:L11"/>
    <mergeCell ref="A33:C34"/>
    <mergeCell ref="J1:J2"/>
    <mergeCell ref="B4:C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Q40"/>
  <sheetViews>
    <sheetView zoomScale="80" zoomScaleNormal="80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E33" sqref="E33:E34"/>
    </sheetView>
  </sheetViews>
  <sheetFormatPr baseColWidth="8" defaultColWidth="9" defaultRowHeight="16.8"/>
  <cols>
    <col width="14.25" customWidth="1" style="1" min="1" max="1"/>
    <col width="9" customWidth="1" style="1" min="2" max="3"/>
    <col width="4" customWidth="1" style="1" min="4" max="4"/>
    <col width="18.5" customWidth="1" style="1" min="5" max="12"/>
    <col width="9" customWidth="1" style="1" min="13" max="16384"/>
  </cols>
  <sheetData>
    <row r="1" ht="16.5" customHeight="1" s="293">
      <c r="A1" s="172">
        <f>'Risk Mgmt'!A1</f>
        <v/>
      </c>
      <c r="D1" s="4" t="inlineStr">
        <is>
          <t>An Executive Summary for Investors: Strategy &amp; Order(s)</t>
        </is>
      </c>
      <c r="J1" s="7" t="inlineStr">
        <is>
          <t>as of</t>
        </is>
      </c>
      <c r="K1" s="8">
        <f>TEXT(B4,"YYYY-MM-DD")</f>
        <v/>
      </c>
    </row>
    <row r="2" ht="16.5" customHeight="1" s="293">
      <c r="A2" s="298" t="n"/>
      <c r="B2" s="298" t="n"/>
      <c r="C2" s="298" t="n"/>
      <c r="J2" s="298" t="n"/>
      <c r="K2" s="298" t="n"/>
      <c r="L2" s="298" t="n"/>
    </row>
    <row r="3">
      <c r="A3" s="9" t="inlineStr">
        <is>
          <t>Company</t>
        </is>
      </c>
      <c r="B3" s="337">
        <f>'Risk Mgmt'!B3</f>
        <v/>
      </c>
      <c r="C3" s="304" t="n"/>
      <c r="D3" s="12" t="n"/>
      <c r="E3" s="13" t="n"/>
      <c r="F3" s="14" t="inlineStr">
        <is>
          <t>Loss-cut</t>
        </is>
      </c>
      <c r="G3" s="14" t="inlineStr">
        <is>
          <t>Profit-taking</t>
        </is>
      </c>
      <c r="H3" s="14" t="inlineStr">
        <is>
          <t>ETF</t>
        </is>
      </c>
      <c r="I3" s="14" t="inlineStr">
        <is>
          <t>Country</t>
        </is>
      </c>
      <c r="J3" s="15" t="inlineStr">
        <is>
          <t>Futures</t>
        </is>
      </c>
      <c r="K3" s="15" t="inlineStr">
        <is>
          <t>Options L</t>
        </is>
      </c>
      <c r="L3" s="15" t="inlineStr">
        <is>
          <t>Options S</t>
        </is>
      </c>
    </row>
    <row r="4">
      <c r="A4" s="9" t="inlineStr">
        <is>
          <t>Date</t>
        </is>
      </c>
      <c r="B4" s="358">
        <f>'06-Nov'!B4+7</f>
        <v/>
      </c>
      <c r="C4" s="304" t="n"/>
      <c r="D4" s="18">
        <f>IF(WEEKDAY(B4)=1,"SUN",IF(WEEKDAY(B4)=2,"MON",IF(WEEKDAY(B4)=3,"TUE",IF(WEEKDAY(B4)=4,"WED",IF(WEEKDAY(B4)=5,"THU",IF(WEEKDAY(B4)=6,"FRI",IF(WEEKDAY(B4)=7,"SAT","-")))))))</f>
        <v/>
      </c>
      <c r="E4" s="19" t="inlineStr">
        <is>
          <t>before 3pm</t>
        </is>
      </c>
      <c r="F4" s="20">
        <f>'06-Nov'!F4</f>
        <v/>
      </c>
      <c r="G4" s="20">
        <f>'06-Nov'!G4</f>
        <v/>
      </c>
      <c r="H4" s="20">
        <f>'06-Nov'!H4</f>
        <v/>
      </c>
      <c r="I4" s="20">
        <f>'06-Nov'!I4</f>
        <v/>
      </c>
      <c r="J4" s="21">
        <f>'06-Nov'!J4</f>
        <v/>
      </c>
      <c r="K4" s="21">
        <f>'06-Nov'!K4</f>
        <v/>
      </c>
      <c r="L4" s="21">
        <f>'06-Nov'!L4</f>
        <v/>
      </c>
    </row>
    <row r="5" ht="16.5" customHeight="1" s="293">
      <c r="A5" s="22" t="n"/>
      <c r="B5" s="338" t="n"/>
      <c r="C5" s="24" t="n"/>
      <c r="D5" s="25" t="n"/>
      <c r="E5" s="359" t="inlineStr">
        <is>
          <t>Important!   No longer than 5 lines in each box. (Column width: 9, Font Size: 11, MS Clear Gothic)
Line feed within a cell: Alt^Enter</t>
        </is>
      </c>
      <c r="F5" s="296" t="n"/>
      <c r="G5" s="296" t="n"/>
      <c r="H5" s="296" t="n"/>
      <c r="I5" s="296" t="n"/>
      <c r="J5" s="296" t="n"/>
      <c r="K5" s="296" t="n"/>
      <c r="L5" s="297" t="n"/>
    </row>
    <row r="6" ht="14.1" customHeight="1" s="293">
      <c r="A6" s="22" t="n"/>
      <c r="B6" s="338" t="n"/>
      <c r="C6" s="24" t="n"/>
      <c r="D6" s="25" t="n"/>
      <c r="E6" s="300" t="n"/>
      <c r="F6" s="298" t="n"/>
      <c r="G6" s="298" t="n"/>
      <c r="H6" s="298" t="n"/>
      <c r="I6" s="298" t="n"/>
      <c r="J6" s="298" t="n"/>
      <c r="K6" s="298" t="n"/>
      <c r="L6" s="299" t="n"/>
      <c r="N6" s="340" t="inlineStr">
        <is>
          <t>KRX-listed ETF code begins with letter A and ETN code begins with letter Q which prevent the codes from being read as numbers rather than  text. 
US ETFs' codes are using 2 ~ 4 alphebet characters.</t>
        </is>
      </c>
      <c r="O6" s="296" t="n"/>
      <c r="P6" s="296" t="n"/>
      <c r="Q6" s="297" t="n"/>
    </row>
    <row r="7" ht="14.1" customHeight="1" s="293">
      <c r="A7" s="341" t="inlineStr">
        <is>
          <t>Strategy</t>
        </is>
      </c>
      <c r="B7" s="342" t="inlineStr">
        <is>
          <t>Background</t>
        </is>
      </c>
      <c r="C7" s="297" t="n"/>
      <c r="D7" s="38" t="n">
        <v>1</v>
      </c>
      <c r="E7" s="360" t="n"/>
      <c r="F7" s="296" t="n"/>
      <c r="G7" s="296" t="n"/>
      <c r="H7" s="296" t="n"/>
      <c r="I7" s="296" t="n"/>
      <c r="J7" s="296" t="n"/>
      <c r="K7" s="296" t="n"/>
      <c r="L7" s="297" t="n"/>
      <c r="N7" s="307" t="n"/>
      <c r="Q7" s="294" t="n"/>
    </row>
    <row r="8" ht="14.1" customHeight="1" s="293">
      <c r="A8" s="344" t="n"/>
      <c r="B8" s="307" t="n"/>
      <c r="C8" s="294" t="n"/>
      <c r="D8" s="3" t="n">
        <v>2</v>
      </c>
      <c r="E8" s="307" t="n"/>
      <c r="L8" s="294" t="n"/>
      <c r="N8" s="307" t="n"/>
      <c r="Q8" s="294" t="n"/>
    </row>
    <row r="9" ht="14.1" customHeight="1" s="293">
      <c r="A9" s="344" t="n"/>
      <c r="B9" s="307" t="n"/>
      <c r="C9" s="294" t="n"/>
      <c r="D9" s="3" t="n">
        <v>3</v>
      </c>
      <c r="E9" s="307" t="n"/>
      <c r="L9" s="294" t="n"/>
      <c r="N9" s="307" t="n"/>
      <c r="Q9" s="294" t="n"/>
    </row>
    <row r="10" ht="14.1" customHeight="1" s="293">
      <c r="A10" s="344" t="n"/>
      <c r="B10" s="307" t="n"/>
      <c r="C10" s="294" t="n"/>
      <c r="D10" s="3" t="n">
        <v>4</v>
      </c>
      <c r="E10" s="307" t="n"/>
      <c r="L10" s="294" t="n"/>
      <c r="N10" s="307" t="n"/>
      <c r="Q10" s="294" t="n"/>
    </row>
    <row r="11" ht="14.1" customHeight="1" s="293">
      <c r="A11" s="344" t="n"/>
      <c r="B11" s="300" t="n"/>
      <c r="C11" s="299" t="n"/>
      <c r="D11" s="6" t="n">
        <v>5</v>
      </c>
      <c r="E11" s="300" t="n"/>
      <c r="F11" s="298" t="n"/>
      <c r="G11" s="298" t="n"/>
      <c r="H11" s="298" t="n"/>
      <c r="I11" s="298" t="n"/>
      <c r="J11" s="298" t="n"/>
      <c r="K11" s="298" t="n"/>
      <c r="L11" s="299" t="n"/>
      <c r="N11" s="307" t="n"/>
      <c r="Q11" s="294" t="n"/>
    </row>
    <row r="12" ht="14.1" customHeight="1" s="293">
      <c r="A12" s="344" t="n"/>
      <c r="B12" s="342" t="inlineStr">
        <is>
          <t>Reasonings</t>
        </is>
      </c>
      <c r="C12" s="297" t="n"/>
      <c r="D12" s="38" t="n">
        <v>1</v>
      </c>
      <c r="E12" s="361" t="n"/>
      <c r="F12" s="296" t="n"/>
      <c r="G12" s="296" t="n"/>
      <c r="H12" s="296" t="n"/>
      <c r="I12" s="296" t="n"/>
      <c r="J12" s="296" t="n"/>
      <c r="K12" s="296" t="n"/>
      <c r="L12" s="297" t="n"/>
      <c r="N12" s="307" t="n"/>
      <c r="Q12" s="294" t="n"/>
    </row>
    <row r="13" ht="14.1" customHeight="1" s="293">
      <c r="A13" s="344" t="n"/>
      <c r="B13" s="307" t="n"/>
      <c r="C13" s="294" t="n"/>
      <c r="D13" s="3" t="n">
        <v>2</v>
      </c>
      <c r="E13" s="307" t="n"/>
      <c r="L13" s="294" t="n"/>
      <c r="N13" s="307" t="n"/>
      <c r="Q13" s="294" t="n"/>
    </row>
    <row r="14" ht="14.1" customHeight="1" s="293">
      <c r="A14" s="344" t="n"/>
      <c r="B14" s="307" t="n"/>
      <c r="C14" s="294" t="n"/>
      <c r="D14" s="3" t="n">
        <v>3</v>
      </c>
      <c r="E14" s="307" t="n"/>
      <c r="L14" s="294" t="n"/>
      <c r="N14" s="307" t="n"/>
      <c r="Q14" s="294" t="n"/>
    </row>
    <row r="15" ht="14.1" customHeight="1" s="293">
      <c r="A15" s="344" t="n"/>
      <c r="B15" s="307" t="n"/>
      <c r="C15" s="294" t="n"/>
      <c r="D15" s="3" t="n">
        <v>4</v>
      </c>
      <c r="E15" s="307" t="n"/>
      <c r="L15" s="294" t="n"/>
      <c r="N15" s="307" t="n"/>
      <c r="Q15" s="294" t="n"/>
    </row>
    <row r="16" ht="14.1" customHeight="1" s="293">
      <c r="A16" s="344" t="n"/>
      <c r="B16" s="300" t="n"/>
      <c r="C16" s="299" t="n"/>
      <c r="D16" s="6" t="n">
        <v>5</v>
      </c>
      <c r="E16" s="300" t="n"/>
      <c r="F16" s="298" t="n"/>
      <c r="G16" s="298" t="n"/>
      <c r="H16" s="298" t="n"/>
      <c r="I16" s="298" t="n"/>
      <c r="J16" s="298" t="n"/>
      <c r="K16" s="298" t="n"/>
      <c r="L16" s="299" t="n"/>
      <c r="N16" s="307" t="n"/>
      <c r="Q16" s="294" t="n"/>
    </row>
    <row r="17" ht="14.1" customHeight="1" s="293">
      <c r="A17" s="344" t="n"/>
      <c r="B17" s="342" t="inlineStr">
        <is>
          <t>Conclusions</t>
        </is>
      </c>
      <c r="C17" s="297" t="n"/>
      <c r="D17" s="38" t="n">
        <v>1</v>
      </c>
      <c r="E17" s="361" t="n"/>
      <c r="F17" s="296" t="n"/>
      <c r="G17" s="296" t="n"/>
      <c r="H17" s="296" t="n"/>
      <c r="I17" s="296" t="n"/>
      <c r="J17" s="296" t="n"/>
      <c r="K17" s="296" t="n"/>
      <c r="L17" s="297" t="n"/>
      <c r="N17" s="307" t="n"/>
      <c r="Q17" s="294" t="n"/>
    </row>
    <row r="18" ht="14.1" customHeight="1" s="293">
      <c r="A18" s="344" t="n"/>
      <c r="B18" s="307" t="n"/>
      <c r="C18" s="294" t="n"/>
      <c r="D18" s="3" t="n">
        <v>2</v>
      </c>
      <c r="E18" s="307" t="n"/>
      <c r="L18" s="294" t="n"/>
      <c r="N18" s="307" t="n"/>
      <c r="Q18" s="294" t="n"/>
    </row>
    <row r="19" ht="14.1" customHeight="1" s="293">
      <c r="A19" s="344" t="n"/>
      <c r="B19" s="307" t="n"/>
      <c r="C19" s="294" t="n"/>
      <c r="D19" s="3" t="n">
        <v>3</v>
      </c>
      <c r="E19" s="307" t="n"/>
      <c r="L19" s="294" t="n"/>
      <c r="N19" s="307" t="n"/>
      <c r="Q19" s="294" t="n"/>
    </row>
    <row r="20" ht="14.1" customHeight="1" s="293">
      <c r="A20" s="344" t="n"/>
      <c r="B20" s="307" t="n"/>
      <c r="C20" s="294" t="n"/>
      <c r="D20" s="3" t="n">
        <v>4</v>
      </c>
      <c r="E20" s="307" t="n"/>
      <c r="L20" s="294" t="n"/>
      <c r="N20" s="307" t="n"/>
      <c r="Q20" s="294" t="n"/>
    </row>
    <row r="21" ht="14.1" customHeight="1" s="293">
      <c r="A21" s="347" t="n"/>
      <c r="B21" s="300" t="n"/>
      <c r="C21" s="299" t="n"/>
      <c r="D21" s="6" t="n">
        <v>5</v>
      </c>
      <c r="E21" s="300" t="n"/>
      <c r="F21" s="298" t="n"/>
      <c r="G21" s="298" t="n"/>
      <c r="H21" s="298" t="n"/>
      <c r="I21" s="298" t="n"/>
      <c r="J21" s="298" t="n"/>
      <c r="K21" s="298" t="n"/>
      <c r="L21" s="299" t="n"/>
      <c r="N21" s="300" t="n"/>
      <c r="O21" s="298" t="n"/>
      <c r="P21" s="298" t="n"/>
      <c r="Q21" s="299" t="n"/>
    </row>
    <row r="22"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348" t="inlineStr">
        <is>
          <t>MOC(Market-on-Close) Orders</t>
        </is>
      </c>
      <c r="B23" s="303" t="n"/>
      <c r="C23" s="304" t="n"/>
      <c r="D23" s="63" t="n"/>
      <c r="E23" s="64" t="n">
        <v>1</v>
      </c>
      <c r="F23" s="65" t="n">
        <v>2</v>
      </c>
      <c r="G23" s="64" t="n">
        <v>3</v>
      </c>
      <c r="H23" s="64" t="n">
        <v>4</v>
      </c>
      <c r="I23" s="64" t="n">
        <v>5</v>
      </c>
      <c r="J23" s="64" t="n">
        <v>6</v>
      </c>
      <c r="K23" s="64" t="n">
        <v>7</v>
      </c>
      <c r="L23" s="64" t="n">
        <v>8</v>
      </c>
    </row>
    <row r="24" ht="20.4" customHeight="1" s="293">
      <c r="A24" s="66" t="n"/>
      <c r="B24" s="349" t="inlineStr">
        <is>
          <t>Buy or Sell</t>
        </is>
      </c>
      <c r="C24" s="297" t="n"/>
      <c r="D24" s="63" t="n"/>
      <c r="E24" s="67" t="n"/>
      <c r="F24" s="68" t="n"/>
      <c r="G24" s="68" t="n"/>
      <c r="H24" s="67" t="n"/>
      <c r="I24" s="67" t="n"/>
      <c r="J24" s="67" t="n"/>
      <c r="K24" s="67" t="n"/>
      <c r="L24" s="67" t="n"/>
    </row>
    <row r="25">
      <c r="A25" s="69" t="inlineStr">
        <is>
          <t>Product Name</t>
        </is>
      </c>
      <c r="B25" s="303" t="n"/>
      <c r="C25" s="304" t="n"/>
      <c r="D25" s="13" t="n"/>
      <c r="E25" s="70" t="n"/>
      <c r="F25" s="71" t="n"/>
      <c r="G25" s="71" t="n"/>
      <c r="H25" s="67" t="n"/>
      <c r="I25" s="67" t="n"/>
      <c r="J25" s="67" t="n"/>
      <c r="K25" s="67" t="n"/>
      <c r="L25" s="67" t="n"/>
    </row>
    <row r="26">
      <c r="A26" s="69" t="inlineStr">
        <is>
          <t>Product Code</t>
        </is>
      </c>
      <c r="B26" s="303" t="n"/>
      <c r="C26" s="304" t="n"/>
      <c r="D26" s="13" t="n"/>
      <c r="E26" s="67" t="n"/>
      <c r="F26" s="68" t="n"/>
      <c r="G26" s="68" t="n"/>
      <c r="H26" s="67" t="n"/>
      <c r="I26" s="67" t="n"/>
      <c r="J26" s="67" t="n"/>
      <c r="K26" s="67" t="n"/>
      <c r="L26" s="67" t="n"/>
    </row>
    <row r="27">
      <c r="A27" s="350" t="inlineStr">
        <is>
          <t>Product Type (ETF/Futures/Options)</t>
        </is>
      </c>
      <c r="B27" s="303" t="n"/>
      <c r="C27" s="304" t="n"/>
      <c r="D27" s="13" t="n"/>
      <c r="E27" s="67" t="n"/>
      <c r="F27" s="67" t="n"/>
      <c r="G27" s="67" t="n"/>
      <c r="H27" s="67" t="n"/>
      <c r="I27" s="67" t="n"/>
      <c r="J27" s="67" t="n"/>
      <c r="K27" s="67" t="n"/>
      <c r="L27" s="67" t="n"/>
    </row>
    <row r="28" ht="17" customHeight="1" s="293">
      <c r="A28" s="69" t="inlineStr">
        <is>
          <t>Size (shares, contracts)</t>
        </is>
      </c>
      <c r="B28" s="303" t="n"/>
      <c r="C28" s="304" t="n"/>
      <c r="D28" s="13" t="n"/>
      <c r="E28" s="75" t="n"/>
      <c r="F28" s="76" t="n"/>
      <c r="G28" s="76" t="n"/>
      <c r="H28" s="77" t="n"/>
      <c r="I28" s="77" t="n"/>
      <c r="J28" s="77" t="n"/>
      <c r="K28" s="77" t="n"/>
      <c r="L28" s="77" t="n"/>
    </row>
    <row r="29" ht="17" customHeight="1" s="293">
      <c r="A29" s="351" t="inlineStr">
        <is>
          <t>Multiple (Futures&amp;Options only)</t>
        </is>
      </c>
      <c r="B29" s="303" t="n"/>
      <c r="C29" s="304" t="n"/>
      <c r="D29" s="13" t="n"/>
      <c r="E29" s="81" t="n"/>
      <c r="F29" s="81" t="n"/>
      <c r="G29" s="82" t="n"/>
      <c r="H29" s="81" t="n"/>
      <c r="I29" s="81" t="n"/>
      <c r="J29" s="81" t="n"/>
      <c r="K29" s="81" t="n"/>
      <c r="L29" s="81" t="n"/>
    </row>
    <row r="30">
      <c r="A30" s="69" t="inlineStr">
        <is>
          <t>Price</t>
        </is>
      </c>
      <c r="B30" s="303" t="n"/>
      <c r="C30" s="304" t="n"/>
      <c r="D30" s="13" t="n"/>
      <c r="E30" s="84" t="inlineStr">
        <is>
          <t>Friday's closing Price</t>
        </is>
      </c>
      <c r="F30" s="85" t="inlineStr">
        <is>
          <t>Friday's closing Price</t>
        </is>
      </c>
      <c r="G30" s="85" t="inlineStr">
        <is>
          <t>Friday's closing Price</t>
        </is>
      </c>
      <c r="H30" s="85" t="inlineStr">
        <is>
          <t>Friday's closing Price</t>
        </is>
      </c>
      <c r="I30" s="85" t="inlineStr">
        <is>
          <t>Friday's closing Price</t>
        </is>
      </c>
      <c r="J30" s="85" t="inlineStr">
        <is>
          <t>Friday's closing Price</t>
        </is>
      </c>
      <c r="K30" s="85" t="inlineStr">
        <is>
          <t>Friday's closing Price</t>
        </is>
      </c>
      <c r="L30" s="85" t="inlineStr">
        <is>
          <t>Friday's closing Price</t>
        </is>
      </c>
    </row>
    <row r="31" ht="16.5" customHeight="1" s="293">
      <c r="A31" s="83" t="inlineStr">
        <is>
          <t>FX (exchange rate)</t>
        </is>
      </c>
      <c r="B31" s="303" t="n"/>
      <c r="C31" s="304" t="n"/>
      <c r="D31" s="13" t="n"/>
      <c r="E31" s="84" t="inlineStr">
        <is>
          <t>Friday's closing FX rate</t>
        </is>
      </c>
      <c r="F31" s="85" t="inlineStr">
        <is>
          <t>Friday's closing FX rate</t>
        </is>
      </c>
      <c r="G31" s="85" t="inlineStr">
        <is>
          <t>Friday's closing FX rate</t>
        </is>
      </c>
      <c r="H31" s="85" t="inlineStr">
        <is>
          <t>Friday's closing FX rate</t>
        </is>
      </c>
      <c r="I31" s="85" t="inlineStr">
        <is>
          <t>Friday's closing FX rate</t>
        </is>
      </c>
      <c r="J31" s="85" t="inlineStr">
        <is>
          <t>Friday's closing FX rate</t>
        </is>
      </c>
      <c r="K31" s="85" t="inlineStr">
        <is>
          <t>Friday's closing FX rate</t>
        </is>
      </c>
      <c r="L31" s="85" t="inlineStr">
        <is>
          <t>Friday's closing FX rate</t>
        </is>
      </c>
    </row>
    <row r="32">
      <c r="A32" s="86" t="inlineStr">
        <is>
          <t>Size Check</t>
        </is>
      </c>
      <c r="B32" s="303" t="n"/>
      <c r="C32" s="303" t="n"/>
      <c r="D32" s="13" t="n"/>
      <c r="E32" s="87">
        <f>IF(E28=0,"",IF(E28&lt;25%*E33,"OK","Too Big!"))</f>
        <v/>
      </c>
      <c r="F32" s="87">
        <f>IF(F28=0,"",IF(F28&lt;25%*F33,"OK","Too Big!"))</f>
        <v/>
      </c>
      <c r="G32" s="87">
        <f>IF(G28=0,"",IF(G28&lt;25%*G33,"OK","Too Big!"))</f>
        <v/>
      </c>
      <c r="H32" s="87">
        <f>IF(H28=0,"",IF(H28&lt;25%*H33,"OK","Too Big!"))</f>
        <v/>
      </c>
      <c r="I32" s="87">
        <f>IF(I28=0,"",IF(I28&lt;25%*I33,"OK","Too Big!"))</f>
        <v/>
      </c>
      <c r="J32" s="87">
        <f>IF(J28=0,"",IF(J28&lt;25%*J33,"OK","Too Big!"))</f>
        <v/>
      </c>
      <c r="K32" s="87">
        <f>IF(K28=0,"",IF(K28&lt;25%*K33,"OK","Too Big!"))</f>
        <v/>
      </c>
      <c r="L32" s="87">
        <f>IF(L28=0,"",IF(L28&lt;25%*L33,"OK","Too Big!"))</f>
        <v/>
      </c>
    </row>
    <row r="33">
      <c r="A33" s="88" t="inlineStr">
        <is>
          <t>Previous Thursday's daily trading volume (shares/contracts)</t>
        </is>
      </c>
      <c r="B33" s="296" t="n"/>
      <c r="C33" s="297" t="n"/>
      <c r="D33" s="13" t="n"/>
      <c r="E33" s="353" t="n"/>
      <c r="F33" s="353" t="n"/>
      <c r="G33" s="353" t="n"/>
      <c r="H33" s="353" t="n"/>
      <c r="I33" s="353" t="n"/>
      <c r="J33" s="353" t="n"/>
      <c r="K33" s="353" t="n"/>
      <c r="L33" s="353" t="n"/>
    </row>
    <row r="34" ht="16.5" customHeight="1" s="293">
      <c r="A34" s="300" t="n"/>
      <c r="B34" s="298" t="n"/>
      <c r="C34" s="299" t="n"/>
      <c r="D34" s="13" t="n"/>
      <c r="E34" s="300" t="n"/>
      <c r="F34" s="300" t="n"/>
      <c r="G34" s="300" t="n"/>
      <c r="H34" s="300" t="n"/>
      <c r="I34" s="300" t="n"/>
      <c r="J34" s="300" t="n"/>
      <c r="K34" s="300" t="n"/>
      <c r="L34" s="300" t="n"/>
    </row>
    <row r="35" ht="16.5" customHeight="1" s="293">
      <c r="A35" s="92">
        <f>'Risk Mgmt'!A25</f>
        <v/>
      </c>
      <c r="B35" s="93">
        <f>'Risk Mgmt'!B25</f>
        <v/>
      </c>
      <c r="D35" s="13" t="n"/>
      <c r="E35" s="355" t="inlineStr">
        <is>
          <t>Adjust your order size to keep it smaller than a 25% of previous Thursday's trading volume of each interest.</t>
        </is>
      </c>
      <c r="F35" s="303" t="n"/>
      <c r="G35" s="303" t="n"/>
      <c r="H35" s="303" t="n"/>
      <c r="I35" s="303" t="n"/>
      <c r="J35" s="303" t="n"/>
      <c r="K35" s="303" t="n"/>
      <c r="L35" s="304" t="n"/>
    </row>
    <row r="36" ht="16.5" customHeight="1" s="293">
      <c r="A36" s="97">
        <f>'Risk Mgmt'!A26</f>
        <v/>
      </c>
      <c r="B36" s="68">
        <f>'Risk Mgmt'!B26</f>
        <v/>
      </c>
      <c r="C36" s="68">
        <f>'Risk Mgmt'!C26</f>
        <v/>
      </c>
      <c r="D36" s="98" t="n"/>
      <c r="E36" s="356" t="inlineStr">
        <is>
          <t>[Normal Case] Total Investment &lt; KRW 10 billion --&gt; Remaining Cash Balance earns an interest of 0.035% per week.  
[Leverage Case] Total Investment &gt; KRW 10 billion --&gt;The amount over the budget (KRW 10 billion) incurs financing cost: 0.070% per week.</t>
        </is>
      </c>
      <c r="F36" s="296" t="n"/>
      <c r="G36" s="296" t="n"/>
      <c r="H36" s="296" t="n"/>
      <c r="I36" s="296" t="n"/>
      <c r="J36" s="296" t="n"/>
      <c r="K36" s="296" t="n"/>
      <c r="L36" s="297" t="n"/>
    </row>
    <row r="37" ht="16.5" customHeight="1" s="293">
      <c r="A37" s="97">
        <f>'Risk Mgmt'!A27</f>
        <v/>
      </c>
      <c r="B37" s="68">
        <f>'Risk Mgmt'!B27</f>
        <v/>
      </c>
      <c r="C37" s="68">
        <f>'Risk Mgmt'!C27</f>
        <v/>
      </c>
      <c r="D37" s="98" t="n"/>
      <c r="E37" s="307" t="n"/>
      <c r="L37" s="294" t="n"/>
    </row>
    <row r="38" ht="20.4" customHeight="1" s="293">
      <c r="A38" s="97">
        <f>'Risk Mgmt'!A28</f>
        <v/>
      </c>
      <c r="B38" s="68">
        <f>'Risk Mgmt'!B28</f>
        <v/>
      </c>
      <c r="C38" s="68">
        <f>'Risk Mgmt'!C28</f>
        <v/>
      </c>
      <c r="D38" s="105" t="n"/>
      <c r="E38" s="300" t="n"/>
      <c r="F38" s="298" t="n"/>
      <c r="G38" s="298" t="n"/>
      <c r="H38" s="298" t="n"/>
      <c r="I38" s="298" t="n"/>
      <c r="J38" s="298" t="n"/>
      <c r="K38" s="298" t="n"/>
      <c r="L38" s="299" t="n"/>
    </row>
    <row r="39" ht="18" customHeight="1" s="293">
      <c r="A39" s="97">
        <f>'Risk Mgmt'!A29</f>
        <v/>
      </c>
      <c r="B39" s="68">
        <f>'Risk Mgmt'!B29</f>
        <v/>
      </c>
      <c r="C39" s="68">
        <f>'Risk Mgmt'!C29</f>
        <v/>
      </c>
      <c r="D39" s="105" t="n"/>
      <c r="E39" s="357" t="inlineStr">
        <is>
          <t>Check if your orders are in compliance with your team's (self-made) risk management rules!</t>
        </is>
      </c>
      <c r="F39" s="303" t="n"/>
      <c r="G39" s="303" t="n"/>
      <c r="H39" s="303" t="n"/>
      <c r="I39" s="303" t="n"/>
      <c r="J39" s="303" t="n"/>
      <c r="K39" s="303" t="n"/>
      <c r="L39" s="304" t="n"/>
    </row>
    <row r="40">
      <c r="A40" s="112" t="n"/>
      <c r="B40" s="112" t="n"/>
      <c r="C40" s="112" t="n"/>
    </row>
  </sheetData>
  <mergeCells count="37">
    <mergeCell ref="A25:C25"/>
    <mergeCell ref="K33:K34"/>
    <mergeCell ref="B3:C3"/>
    <mergeCell ref="E12:L16"/>
    <mergeCell ref="E33:E34"/>
    <mergeCell ref="A27:C27"/>
    <mergeCell ref="B7:C11"/>
    <mergeCell ref="A26:C26"/>
    <mergeCell ref="E39:L39"/>
    <mergeCell ref="E35:L35"/>
    <mergeCell ref="D1:I2"/>
    <mergeCell ref="A7:A21"/>
    <mergeCell ref="A23:C23"/>
    <mergeCell ref="A32:C32"/>
    <mergeCell ref="A1:C2"/>
    <mergeCell ref="L33:L34"/>
    <mergeCell ref="B12:C16"/>
    <mergeCell ref="F33:F34"/>
    <mergeCell ref="N6:Q21"/>
    <mergeCell ref="A29:C29"/>
    <mergeCell ref="I33:I34"/>
    <mergeCell ref="E17:L21"/>
    <mergeCell ref="A28:C28"/>
    <mergeCell ref="B17:C21"/>
    <mergeCell ref="G33:G34"/>
    <mergeCell ref="A31:C31"/>
    <mergeCell ref="A30:C30"/>
    <mergeCell ref="E36:L38"/>
    <mergeCell ref="E5:L6"/>
    <mergeCell ref="B24:C24"/>
    <mergeCell ref="H33:H34"/>
    <mergeCell ref="J33:J34"/>
    <mergeCell ref="K1:L2"/>
    <mergeCell ref="E7:L11"/>
    <mergeCell ref="A33:C34"/>
    <mergeCell ref="J1:J2"/>
    <mergeCell ref="B4: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Q40"/>
  <sheetViews>
    <sheetView zoomScale="80" zoomScaleNormal="80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M32" sqref="M32"/>
    </sheetView>
  </sheetViews>
  <sheetFormatPr baseColWidth="8" defaultColWidth="9" defaultRowHeight="16.8"/>
  <cols>
    <col width="14.25" customWidth="1" style="1" min="1" max="1"/>
    <col width="9" customWidth="1" style="1" min="2" max="3"/>
    <col width="4" customWidth="1" style="1" min="4" max="4"/>
    <col width="18.5" customWidth="1" style="1" min="5" max="12"/>
    <col width="9" customWidth="1" style="1" min="13" max="16384"/>
  </cols>
  <sheetData>
    <row r="1" ht="16.5" customHeight="1" s="293">
      <c r="A1" s="172">
        <f>'Risk Mgmt'!A1</f>
        <v/>
      </c>
      <c r="D1" s="4" t="inlineStr">
        <is>
          <t>An Executive Summary for Investors: Strategy &amp; Order(s)</t>
        </is>
      </c>
      <c r="J1" s="7" t="inlineStr">
        <is>
          <t>as of</t>
        </is>
      </c>
      <c r="K1" s="8">
        <f>TEXT(B4,"YYYY-MM-DD")</f>
        <v/>
      </c>
    </row>
    <row r="2" ht="16.5" customHeight="1" s="293">
      <c r="A2" s="298" t="n"/>
      <c r="B2" s="298" t="n"/>
      <c r="C2" s="298" t="n"/>
      <c r="J2" s="298" t="n"/>
      <c r="K2" s="298" t="n"/>
      <c r="L2" s="298" t="n"/>
    </row>
    <row r="3">
      <c r="A3" s="9" t="inlineStr">
        <is>
          <t>Company</t>
        </is>
      </c>
      <c r="B3" s="337">
        <f>'Risk Mgmt'!B3</f>
        <v/>
      </c>
      <c r="C3" s="304" t="n"/>
      <c r="D3" s="12" t="n"/>
      <c r="E3" s="13" t="n"/>
      <c r="F3" s="14" t="inlineStr">
        <is>
          <t>Loss-cut</t>
        </is>
      </c>
      <c r="G3" s="14" t="inlineStr">
        <is>
          <t>Profit-taking</t>
        </is>
      </c>
      <c r="H3" s="14" t="inlineStr">
        <is>
          <t>ETF</t>
        </is>
      </c>
      <c r="I3" s="14" t="inlineStr">
        <is>
          <t>Country</t>
        </is>
      </c>
      <c r="J3" s="15" t="inlineStr">
        <is>
          <t>Futures</t>
        </is>
      </c>
      <c r="K3" s="15" t="inlineStr">
        <is>
          <t>Options L</t>
        </is>
      </c>
      <c r="L3" s="15" t="inlineStr">
        <is>
          <t>Options S</t>
        </is>
      </c>
    </row>
    <row r="4">
      <c r="A4" s="9" t="inlineStr">
        <is>
          <t>Date</t>
        </is>
      </c>
      <c r="B4" s="358">
        <f>'13-Nov'!B4+7</f>
        <v/>
      </c>
      <c r="C4" s="304" t="n"/>
      <c r="D4" s="18">
        <f>IF(WEEKDAY(B4)=1,"SUN",IF(WEEKDAY(B4)=2,"MON",IF(WEEKDAY(B4)=3,"TUE",IF(WEEKDAY(B4)=4,"WED",IF(WEEKDAY(B4)=5,"THU",IF(WEEKDAY(B4)=6,"FRI",IF(WEEKDAY(B4)=7,"SAT","-")))))))</f>
        <v/>
      </c>
      <c r="E4" s="19" t="inlineStr">
        <is>
          <t>before 3pm</t>
        </is>
      </c>
      <c r="F4" s="20">
        <f>'13-Nov'!F4</f>
        <v/>
      </c>
      <c r="G4" s="20">
        <f>'13-Nov'!G4</f>
        <v/>
      </c>
      <c r="H4" s="20">
        <f>'13-Nov'!H4</f>
        <v/>
      </c>
      <c r="I4" s="20">
        <f>'13-Nov'!I4</f>
        <v/>
      </c>
      <c r="J4" s="21">
        <f>'13-Nov'!J4</f>
        <v/>
      </c>
      <c r="K4" s="21">
        <f>'13-Nov'!K4</f>
        <v/>
      </c>
      <c r="L4" s="21">
        <f>'13-Nov'!L4</f>
        <v/>
      </c>
    </row>
    <row r="5" ht="16.5" customHeight="1" s="293">
      <c r="A5" s="22" t="n"/>
      <c r="B5" s="338" t="n"/>
      <c r="C5" s="24" t="n"/>
      <c r="D5" s="25" t="n"/>
      <c r="E5" s="359" t="inlineStr">
        <is>
          <t>Important!   No longer than 5 lines in each box. (Column width: 9, Font Size: 11, MS Clear Gothic)
Line feed within a cell: Alt^Enter</t>
        </is>
      </c>
      <c r="F5" s="296" t="n"/>
      <c r="G5" s="296" t="n"/>
      <c r="H5" s="296" t="n"/>
      <c r="I5" s="296" t="n"/>
      <c r="J5" s="296" t="n"/>
      <c r="K5" s="296" t="n"/>
      <c r="L5" s="297" t="n"/>
    </row>
    <row r="6" ht="14.1" customHeight="1" s="293">
      <c r="A6" s="22" t="n"/>
      <c r="B6" s="338" t="n"/>
      <c r="C6" s="24" t="n"/>
      <c r="D6" s="25" t="n"/>
      <c r="E6" s="300" t="n"/>
      <c r="F6" s="298" t="n"/>
      <c r="G6" s="298" t="n"/>
      <c r="H6" s="298" t="n"/>
      <c r="I6" s="298" t="n"/>
      <c r="J6" s="298" t="n"/>
      <c r="K6" s="298" t="n"/>
      <c r="L6" s="299" t="n"/>
      <c r="N6" s="340" t="inlineStr">
        <is>
          <t>KRX-listed ETF code begins with letter A and ETN code begins with letter Q which prevent the codes from being read as numbers rather than  text. 
US ETFs' codes are using 2 ~ 4 alphebet characters.</t>
        </is>
      </c>
      <c r="O6" s="296" t="n"/>
      <c r="P6" s="296" t="n"/>
      <c r="Q6" s="297" t="n"/>
    </row>
    <row r="7" ht="14.1" customHeight="1" s="293">
      <c r="A7" s="341" t="inlineStr">
        <is>
          <t>Strategy</t>
        </is>
      </c>
      <c r="B7" s="342" t="inlineStr">
        <is>
          <t>Background</t>
        </is>
      </c>
      <c r="C7" s="297" t="n"/>
      <c r="D7" s="38" t="n">
        <v>1</v>
      </c>
      <c r="E7" s="362" t="inlineStr">
        <is>
          <t xml:space="preserve">Back to Cash(KRW): Close all positions on risky assets.
1. If the trading volume of a particular asset is not big enough to reflect your liquidation, 
the liquidation could be split into smaller portions, e.g. 1/3 at Wednesday close, 1/3 at Thursday close and 1/3 at Friday close. 
2.  Liquidation of a long position of American-style option (e.g. ETF options) is done by simply exercising the right to buy the underlying asset at the strike price. 
     (Apply cash-settlement for return calc.)
3.  Liquidation of a long position of European-style option should be done by selling at the market(exchange).
    [Liquidation of a short position of European &amp; American-style option should be done by buying back at the market(exchange).] 
4.  Kospi200 Index Options expire on the 2nd Thursday of every maturity month. </t>
        </is>
      </c>
      <c r="F7" s="296" t="n"/>
      <c r="G7" s="296" t="n"/>
      <c r="H7" s="296" t="n"/>
      <c r="I7" s="296" t="n"/>
      <c r="J7" s="296" t="n"/>
      <c r="K7" s="296" t="n"/>
      <c r="L7" s="297" t="n"/>
      <c r="N7" s="307" t="n"/>
      <c r="Q7" s="294" t="n"/>
    </row>
    <row r="8" ht="14.1" customHeight="1" s="293">
      <c r="A8" s="344" t="n"/>
      <c r="B8" s="307" t="n"/>
      <c r="C8" s="294" t="n"/>
      <c r="D8" s="3" t="n">
        <v>2</v>
      </c>
      <c r="E8" s="307" t="n"/>
      <c r="L8" s="294" t="n"/>
      <c r="N8" s="307" t="n"/>
      <c r="Q8" s="294" t="n"/>
    </row>
    <row r="9" ht="14.1" customHeight="1" s="293">
      <c r="A9" s="344" t="n"/>
      <c r="B9" s="307" t="n"/>
      <c r="C9" s="294" t="n"/>
      <c r="D9" s="3" t="n">
        <v>3</v>
      </c>
      <c r="E9" s="307" t="n"/>
      <c r="L9" s="294" t="n"/>
      <c r="N9" s="307" t="n"/>
      <c r="Q9" s="294" t="n"/>
    </row>
    <row r="10" ht="14.1" customHeight="1" s="293">
      <c r="A10" s="344" t="n"/>
      <c r="B10" s="307" t="n"/>
      <c r="C10" s="294" t="n"/>
      <c r="D10" s="3" t="n">
        <v>4</v>
      </c>
      <c r="E10" s="307" t="n"/>
      <c r="L10" s="294" t="n"/>
      <c r="N10" s="307" t="n"/>
      <c r="Q10" s="294" t="n"/>
    </row>
    <row r="11" ht="14.1" customHeight="1" s="293">
      <c r="A11" s="344" t="n"/>
      <c r="B11" s="300" t="n"/>
      <c r="C11" s="299" t="n"/>
      <c r="D11" s="6" t="n">
        <v>5</v>
      </c>
      <c r="E11" s="307" t="n"/>
      <c r="L11" s="294" t="n"/>
      <c r="N11" s="307" t="n"/>
      <c r="Q11" s="294" t="n"/>
    </row>
    <row r="12" ht="14.1" customHeight="1" s="293">
      <c r="A12" s="344" t="n"/>
      <c r="B12" s="342" t="inlineStr">
        <is>
          <t>Reasonings</t>
        </is>
      </c>
      <c r="C12" s="297" t="n"/>
      <c r="D12" s="38" t="n">
        <v>1</v>
      </c>
      <c r="E12" s="307" t="n"/>
      <c r="L12" s="294" t="n"/>
      <c r="N12" s="307" t="n"/>
      <c r="Q12" s="294" t="n"/>
    </row>
    <row r="13" ht="14.1" customHeight="1" s="293">
      <c r="A13" s="344" t="n"/>
      <c r="B13" s="307" t="n"/>
      <c r="C13" s="294" t="n"/>
      <c r="D13" s="3" t="n">
        <v>2</v>
      </c>
      <c r="E13" s="307" t="n"/>
      <c r="L13" s="294" t="n"/>
      <c r="N13" s="307" t="n"/>
      <c r="Q13" s="294" t="n"/>
    </row>
    <row r="14" ht="14.1" customHeight="1" s="293">
      <c r="A14" s="344" t="n"/>
      <c r="B14" s="307" t="n"/>
      <c r="C14" s="294" t="n"/>
      <c r="D14" s="3" t="n">
        <v>3</v>
      </c>
      <c r="E14" s="307" t="n"/>
      <c r="L14" s="294" t="n"/>
      <c r="N14" s="307" t="n"/>
      <c r="Q14" s="294" t="n"/>
    </row>
    <row r="15" ht="14.1" customHeight="1" s="293">
      <c r="A15" s="344" t="n"/>
      <c r="B15" s="307" t="n"/>
      <c r="C15" s="294" t="n"/>
      <c r="D15" s="3" t="n">
        <v>4</v>
      </c>
      <c r="E15" s="307" t="n"/>
      <c r="L15" s="294" t="n"/>
      <c r="N15" s="307" t="n"/>
      <c r="Q15" s="294" t="n"/>
    </row>
    <row r="16" ht="14.1" customHeight="1" s="293">
      <c r="A16" s="344" t="n"/>
      <c r="B16" s="300" t="n"/>
      <c r="C16" s="299" t="n"/>
      <c r="D16" s="6" t="n">
        <v>5</v>
      </c>
      <c r="E16" s="307" t="n"/>
      <c r="L16" s="294" t="n"/>
      <c r="N16" s="307" t="n"/>
      <c r="Q16" s="294" t="n"/>
    </row>
    <row r="17" ht="14.1" customHeight="1" s="293">
      <c r="A17" s="344" t="n"/>
      <c r="B17" s="342" t="inlineStr">
        <is>
          <t>Conclusions</t>
        </is>
      </c>
      <c r="C17" s="297" t="n"/>
      <c r="D17" s="38" t="n">
        <v>1</v>
      </c>
      <c r="E17" s="307" t="n"/>
      <c r="L17" s="294" t="n"/>
      <c r="N17" s="307" t="n"/>
      <c r="Q17" s="294" t="n"/>
    </row>
    <row r="18" ht="14.1" customHeight="1" s="293">
      <c r="A18" s="344" t="n"/>
      <c r="B18" s="307" t="n"/>
      <c r="C18" s="294" t="n"/>
      <c r="D18" s="3" t="n">
        <v>2</v>
      </c>
      <c r="E18" s="307" t="n"/>
      <c r="L18" s="294" t="n"/>
      <c r="N18" s="307" t="n"/>
      <c r="Q18" s="294" t="n"/>
    </row>
    <row r="19" ht="14.1" customHeight="1" s="293">
      <c r="A19" s="344" t="n"/>
      <c r="B19" s="307" t="n"/>
      <c r="C19" s="294" t="n"/>
      <c r="D19" s="3" t="n">
        <v>3</v>
      </c>
      <c r="E19" s="307" t="n"/>
      <c r="L19" s="294" t="n"/>
      <c r="N19" s="307" t="n"/>
      <c r="Q19" s="294" t="n"/>
    </row>
    <row r="20" ht="14.1" customHeight="1" s="293">
      <c r="A20" s="344" t="n"/>
      <c r="B20" s="307" t="n"/>
      <c r="C20" s="294" t="n"/>
      <c r="D20" s="3" t="n">
        <v>4</v>
      </c>
      <c r="E20" s="307" t="n"/>
      <c r="L20" s="294" t="n"/>
      <c r="N20" s="307" t="n"/>
      <c r="Q20" s="294" t="n"/>
    </row>
    <row r="21" ht="14.1" customHeight="1" s="293">
      <c r="A21" s="347" t="n"/>
      <c r="B21" s="300" t="n"/>
      <c r="C21" s="299" t="n"/>
      <c r="D21" s="6" t="n">
        <v>5</v>
      </c>
      <c r="E21" s="300" t="n"/>
      <c r="F21" s="298" t="n"/>
      <c r="G21" s="298" t="n"/>
      <c r="H21" s="298" t="n"/>
      <c r="I21" s="298" t="n"/>
      <c r="J21" s="298" t="n"/>
      <c r="K21" s="298" t="n"/>
      <c r="L21" s="299" t="n"/>
      <c r="N21" s="300" t="n"/>
      <c r="O21" s="298" t="n"/>
      <c r="P21" s="298" t="n"/>
      <c r="Q21" s="299" t="n"/>
    </row>
    <row r="22"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348" t="inlineStr">
        <is>
          <t>MOC(Market-on-Close) Orders</t>
        </is>
      </c>
      <c r="B23" s="303" t="n"/>
      <c r="C23" s="304" t="n"/>
      <c r="D23" s="63" t="n"/>
      <c r="E23" s="64" t="n">
        <v>1</v>
      </c>
      <c r="F23" s="65" t="n">
        <v>2</v>
      </c>
      <c r="G23" s="64" t="n">
        <v>3</v>
      </c>
      <c r="H23" s="64" t="n">
        <v>4</v>
      </c>
      <c r="I23" s="64" t="n">
        <v>5</v>
      </c>
      <c r="J23" s="64" t="n">
        <v>6</v>
      </c>
      <c r="K23" s="64" t="n">
        <v>7</v>
      </c>
      <c r="L23" s="64" t="n">
        <v>8</v>
      </c>
    </row>
    <row r="24" ht="20.4" customHeight="1" s="293">
      <c r="A24" s="66" t="n"/>
      <c r="B24" s="349" t="inlineStr">
        <is>
          <t>Buy or Sell</t>
        </is>
      </c>
      <c r="C24" s="297" t="n"/>
      <c r="D24" s="63" t="n"/>
      <c r="E24" s="67" t="n"/>
      <c r="F24" s="68" t="n"/>
      <c r="G24" s="68" t="n"/>
      <c r="H24" s="67" t="n"/>
      <c r="I24" s="67" t="n"/>
      <c r="J24" s="67" t="n"/>
      <c r="K24" s="67" t="n"/>
      <c r="L24" s="67" t="n"/>
    </row>
    <row r="25">
      <c r="A25" s="69" t="inlineStr">
        <is>
          <t>Product Name</t>
        </is>
      </c>
      <c r="B25" s="303" t="n"/>
      <c r="C25" s="304" t="n"/>
      <c r="D25" s="13" t="n"/>
      <c r="E25" s="70" t="n"/>
      <c r="F25" s="71" t="n"/>
      <c r="G25" s="71" t="n"/>
      <c r="H25" s="67" t="n"/>
      <c r="I25" s="67" t="n"/>
      <c r="J25" s="67" t="n"/>
      <c r="K25" s="67" t="n"/>
      <c r="L25" s="67" t="n"/>
    </row>
    <row r="26">
      <c r="A26" s="69" t="inlineStr">
        <is>
          <t>Product Code</t>
        </is>
      </c>
      <c r="B26" s="303" t="n"/>
      <c r="C26" s="304" t="n"/>
      <c r="D26" s="13" t="n"/>
      <c r="E26" s="67" t="n"/>
      <c r="F26" s="68" t="n"/>
      <c r="G26" s="68" t="n"/>
      <c r="H26" s="67" t="n"/>
      <c r="I26" s="67" t="n"/>
      <c r="J26" s="67" t="n"/>
      <c r="K26" s="67" t="n"/>
      <c r="L26" s="67" t="n"/>
    </row>
    <row r="27">
      <c r="A27" s="350" t="inlineStr">
        <is>
          <t>Product Type (ETF/Futures/Options)</t>
        </is>
      </c>
      <c r="B27" s="303" t="n"/>
      <c r="C27" s="304" t="n"/>
      <c r="D27" s="13" t="n"/>
      <c r="E27" s="67" t="n"/>
      <c r="F27" s="67" t="n"/>
      <c r="G27" s="67" t="n"/>
      <c r="H27" s="67" t="n"/>
      <c r="I27" s="67" t="n"/>
      <c r="J27" s="67" t="n"/>
      <c r="K27" s="67" t="n"/>
      <c r="L27" s="67" t="n"/>
    </row>
    <row r="28" ht="17" customHeight="1" s="293">
      <c r="A28" s="69" t="inlineStr">
        <is>
          <t>Size (shares, contracts)</t>
        </is>
      </c>
      <c r="B28" s="303" t="n"/>
      <c r="C28" s="304" t="n"/>
      <c r="D28" s="13" t="n"/>
      <c r="E28" s="75" t="n"/>
      <c r="F28" s="76" t="n"/>
      <c r="G28" s="76" t="n"/>
      <c r="H28" s="77" t="n"/>
      <c r="I28" s="77" t="n"/>
      <c r="J28" s="77" t="n"/>
      <c r="K28" s="77" t="n"/>
      <c r="L28" s="77" t="n"/>
    </row>
    <row r="29" ht="17" customHeight="1" s="293">
      <c r="A29" s="351" t="inlineStr">
        <is>
          <t>Multiple (Futures&amp;Options only)</t>
        </is>
      </c>
      <c r="B29" s="303" t="n"/>
      <c r="C29" s="304" t="n"/>
      <c r="D29" s="13" t="n"/>
      <c r="E29" s="81" t="n"/>
      <c r="F29" s="81" t="n"/>
      <c r="G29" s="82" t="n"/>
      <c r="H29" s="81" t="n"/>
      <c r="I29" s="81" t="n"/>
      <c r="J29" s="81" t="n"/>
      <c r="K29" s="81" t="n"/>
      <c r="L29" s="81" t="n"/>
    </row>
    <row r="30">
      <c r="A30" s="69" t="inlineStr">
        <is>
          <t>Price</t>
        </is>
      </c>
      <c r="B30" s="303" t="n"/>
      <c r="C30" s="304" t="n"/>
      <c r="D30" s="13" t="n"/>
      <c r="E30" s="84" t="inlineStr">
        <is>
          <t>Friday's closing Price</t>
        </is>
      </c>
      <c r="F30" s="85" t="inlineStr">
        <is>
          <t>Friday's closing Price</t>
        </is>
      </c>
      <c r="G30" s="85" t="inlineStr">
        <is>
          <t>Friday's closing Price</t>
        </is>
      </c>
      <c r="H30" s="85" t="inlineStr">
        <is>
          <t>Friday's closing Price</t>
        </is>
      </c>
      <c r="I30" s="85" t="inlineStr">
        <is>
          <t>Friday's closing Price</t>
        </is>
      </c>
      <c r="J30" s="85" t="inlineStr">
        <is>
          <t>Friday's closing Price</t>
        </is>
      </c>
      <c r="K30" s="85" t="inlineStr">
        <is>
          <t>Friday's closing Price</t>
        </is>
      </c>
      <c r="L30" s="85" t="inlineStr">
        <is>
          <t>Friday's closing Price</t>
        </is>
      </c>
    </row>
    <row r="31" ht="16.5" customHeight="1" s="293">
      <c r="A31" s="83" t="inlineStr">
        <is>
          <t>FX (exchange rate)</t>
        </is>
      </c>
      <c r="B31" s="303" t="n"/>
      <c r="C31" s="304" t="n"/>
      <c r="D31" s="13" t="n"/>
      <c r="E31" s="84" t="inlineStr">
        <is>
          <t>Friday's closing FX rate</t>
        </is>
      </c>
      <c r="F31" s="85" t="inlineStr">
        <is>
          <t>Friday's closing FX rate</t>
        </is>
      </c>
      <c r="G31" s="85" t="inlineStr">
        <is>
          <t>Friday's closing FX rate</t>
        </is>
      </c>
      <c r="H31" s="85" t="inlineStr">
        <is>
          <t>Friday's closing FX rate</t>
        </is>
      </c>
      <c r="I31" s="85" t="inlineStr">
        <is>
          <t>Friday's closing FX rate</t>
        </is>
      </c>
      <c r="J31" s="85" t="inlineStr">
        <is>
          <t>Friday's closing FX rate</t>
        </is>
      </c>
      <c r="K31" s="85" t="inlineStr">
        <is>
          <t>Friday's closing FX rate</t>
        </is>
      </c>
      <c r="L31" s="85" t="inlineStr">
        <is>
          <t>Friday's closing FX rate</t>
        </is>
      </c>
    </row>
    <row r="32">
      <c r="A32" s="86" t="inlineStr">
        <is>
          <t>Size Check</t>
        </is>
      </c>
      <c r="B32" s="303" t="n"/>
      <c r="C32" s="303" t="n"/>
      <c r="D32" s="13" t="n"/>
      <c r="E32" s="87">
        <f>IF(E28=0,"",IF(E28&lt;25%*E33,"OK","Too Big!"))</f>
        <v/>
      </c>
      <c r="F32" s="87">
        <f>IF(F28=0,"",IF(F28&lt;25%*F33,"OK","Too Big!"))</f>
        <v/>
      </c>
      <c r="G32" s="87">
        <f>IF(G28=0,"",IF(G28&lt;25%*G33,"OK","Too Big!"))</f>
        <v/>
      </c>
      <c r="H32" s="87">
        <f>IF(H28=0,"",IF(H28&lt;25%*H33,"OK","Too Big!"))</f>
        <v/>
      </c>
      <c r="I32" s="87">
        <f>IF(I28=0,"",IF(I28&lt;25%*I33,"OK","Too Big!"))</f>
        <v/>
      </c>
      <c r="J32" s="87">
        <f>IF(J28=0,"",IF(J28&lt;25%*J33,"OK","Too Big!"))</f>
        <v/>
      </c>
      <c r="K32" s="87">
        <f>IF(K28=0,"",IF(K28&lt;25%*K33,"OK","Too Big!"))</f>
        <v/>
      </c>
      <c r="L32" s="87">
        <f>IF(L28=0,"",IF(L28&lt;25%*L33,"OK","Too Big!"))</f>
        <v/>
      </c>
    </row>
    <row r="33">
      <c r="A33" s="88" t="inlineStr">
        <is>
          <t>Previous Thursday's daily trading volume (shares/contracts)</t>
        </is>
      </c>
      <c r="B33" s="296" t="n"/>
      <c r="C33" s="297" t="n"/>
      <c r="D33" s="13" t="n"/>
      <c r="E33" s="353" t="n"/>
      <c r="F33" s="353" t="n"/>
      <c r="G33" s="353" t="n"/>
      <c r="H33" s="353" t="n"/>
      <c r="I33" s="353" t="n"/>
      <c r="J33" s="353" t="n"/>
      <c r="K33" s="353" t="n"/>
      <c r="L33" s="353" t="n"/>
    </row>
    <row r="34" ht="16.5" customHeight="1" s="293">
      <c r="A34" s="300" t="n"/>
      <c r="B34" s="298" t="n"/>
      <c r="C34" s="299" t="n"/>
      <c r="D34" s="13" t="n"/>
      <c r="E34" s="300" t="n"/>
      <c r="F34" s="300" t="n"/>
      <c r="G34" s="300" t="n"/>
      <c r="H34" s="300" t="n"/>
      <c r="I34" s="300" t="n"/>
      <c r="J34" s="300" t="n"/>
      <c r="K34" s="300" t="n"/>
      <c r="L34" s="300" t="n"/>
    </row>
    <row r="35" ht="16.5" customHeight="1" s="293">
      <c r="A35" s="92">
        <f>'Risk Mgmt'!A25</f>
        <v/>
      </c>
      <c r="B35" s="93">
        <f>'Risk Mgmt'!B25</f>
        <v/>
      </c>
      <c r="D35" s="13" t="n"/>
      <c r="E35" s="355" t="inlineStr">
        <is>
          <t>Adjust your order size to keep it smaller than a 25% of previous Thursday's trading volume of each interest.</t>
        </is>
      </c>
      <c r="F35" s="303" t="n"/>
      <c r="G35" s="303" t="n"/>
      <c r="H35" s="303" t="n"/>
      <c r="I35" s="303" t="n"/>
      <c r="J35" s="303" t="n"/>
      <c r="K35" s="303" t="n"/>
      <c r="L35" s="304" t="n"/>
    </row>
    <row r="36" ht="16.5" customHeight="1" s="293">
      <c r="A36" s="97">
        <f>'Risk Mgmt'!A26</f>
        <v/>
      </c>
      <c r="B36" s="68">
        <f>'Risk Mgmt'!B26</f>
        <v/>
      </c>
      <c r="C36" s="68">
        <f>'Risk Mgmt'!C26</f>
        <v/>
      </c>
      <c r="D36" s="98" t="n"/>
      <c r="E36" s="356" t="inlineStr">
        <is>
          <t>[Normal Case] Total Investment &lt; KRW 10 billion --&gt; Remaining Cash Balance earns an interest of 0.035% per week.  
[Leverage Case] Total Investment &gt; KRW 10 billion --&gt;The amount over the budget (KRW 10 billion) incurs financing cost: 0.070% per week.</t>
        </is>
      </c>
      <c r="F36" s="296" t="n"/>
      <c r="G36" s="296" t="n"/>
      <c r="H36" s="296" t="n"/>
      <c r="I36" s="296" t="n"/>
      <c r="J36" s="296" t="n"/>
      <c r="K36" s="296" t="n"/>
      <c r="L36" s="297" t="n"/>
    </row>
    <row r="37" ht="16.5" customHeight="1" s="293">
      <c r="A37" s="97">
        <f>'Risk Mgmt'!A27</f>
        <v/>
      </c>
      <c r="B37" s="68">
        <f>'Risk Mgmt'!B27</f>
        <v/>
      </c>
      <c r="C37" s="68">
        <f>'Risk Mgmt'!C27</f>
        <v/>
      </c>
      <c r="D37" s="98" t="n"/>
      <c r="E37" s="307" t="n"/>
      <c r="L37" s="294" t="n"/>
    </row>
    <row r="38" ht="20.4" customHeight="1" s="293">
      <c r="A38" s="97">
        <f>'Risk Mgmt'!A28</f>
        <v/>
      </c>
      <c r="B38" s="68">
        <f>'Risk Mgmt'!B28</f>
        <v/>
      </c>
      <c r="C38" s="68">
        <f>'Risk Mgmt'!C28</f>
        <v/>
      </c>
      <c r="D38" s="105" t="n"/>
      <c r="E38" s="300" t="n"/>
      <c r="F38" s="298" t="n"/>
      <c r="G38" s="298" t="n"/>
      <c r="H38" s="298" t="n"/>
      <c r="I38" s="298" t="n"/>
      <c r="J38" s="298" t="n"/>
      <c r="K38" s="298" t="n"/>
      <c r="L38" s="299" t="n"/>
    </row>
    <row r="39" ht="20.4" customHeight="1" s="293">
      <c r="A39" s="97">
        <f>'Risk Mgmt'!A29</f>
        <v/>
      </c>
      <c r="B39" s="68">
        <f>'Risk Mgmt'!B29</f>
        <v/>
      </c>
      <c r="C39" s="68">
        <f>'Risk Mgmt'!C29</f>
        <v/>
      </c>
      <c r="D39" s="105" t="n"/>
      <c r="E39" s="363" t="n"/>
      <c r="F39" s="303" t="n"/>
      <c r="G39" s="303" t="n"/>
      <c r="H39" s="303" t="n"/>
      <c r="I39" s="303" t="n"/>
      <c r="J39" s="303" t="n"/>
      <c r="K39" s="303" t="n"/>
      <c r="L39" s="304" t="n"/>
    </row>
    <row r="40">
      <c r="A40" s="112" t="n"/>
      <c r="B40" s="112" t="n"/>
      <c r="C40" s="112" t="n"/>
    </row>
  </sheetData>
  <mergeCells count="35">
    <mergeCell ref="A25:C25"/>
    <mergeCell ref="K33:K34"/>
    <mergeCell ref="B3:C3"/>
    <mergeCell ref="E33:E34"/>
    <mergeCell ref="A27:C27"/>
    <mergeCell ref="B7:C11"/>
    <mergeCell ref="A26:C26"/>
    <mergeCell ref="E39:L39"/>
    <mergeCell ref="E35:L35"/>
    <mergeCell ref="D1:I2"/>
    <mergeCell ref="A7:A21"/>
    <mergeCell ref="A23:C23"/>
    <mergeCell ref="A32:C32"/>
    <mergeCell ref="A1:C2"/>
    <mergeCell ref="L33:L34"/>
    <mergeCell ref="B12:C16"/>
    <mergeCell ref="F33:F34"/>
    <mergeCell ref="N6:Q21"/>
    <mergeCell ref="A29:C29"/>
    <mergeCell ref="I33:I34"/>
    <mergeCell ref="A28:C28"/>
    <mergeCell ref="B17:C21"/>
    <mergeCell ref="E7:L21"/>
    <mergeCell ref="G33:G34"/>
    <mergeCell ref="A31:C31"/>
    <mergeCell ref="A30:C30"/>
    <mergeCell ref="E36:L38"/>
    <mergeCell ref="E5:L6"/>
    <mergeCell ref="B24:C24"/>
    <mergeCell ref="H33:H34"/>
    <mergeCell ref="J33:J34"/>
    <mergeCell ref="K1:L2"/>
    <mergeCell ref="A33:C34"/>
    <mergeCell ref="J1:J2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신영석_2</dc:creator>
  <dcterms:created xmlns:dcterms="http://purl.org/dc/terms/" xmlns:xsi="http://www.w3.org/2001/XMLSchema-instance" xsi:type="dcterms:W3CDTF">2015-03-08T16:19:00Z</dcterms:created>
  <dcterms:modified xmlns:dcterms="http://purl.org/dc/terms/" xmlns:xsi="http://www.w3.org/2001/XMLSchema-instance" xsi:type="dcterms:W3CDTF">2026-10-16T01:55:00Z</dcterms:modified>
  <cp:lastModifiedBy>WPS_1677733080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86CCF91DE66E48D6729BC76ACC3EABAE_42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